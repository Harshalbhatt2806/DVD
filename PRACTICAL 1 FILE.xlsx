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MU\Sem-4\DVD\Practical\"/>
    </mc:Choice>
  </mc:AlternateContent>
  <xr:revisionPtr revIDLastSave="0" documentId="13_ncr:1_{5C008D14-D59A-437D-A5F9-4E734CB10CAA}" xr6:coauthVersionLast="47" xr6:coauthVersionMax="47" xr10:uidLastSave="{00000000-0000-0000-0000-000000000000}"/>
  <bookViews>
    <workbookView xWindow="-108" yWindow="-108" windowWidth="23256" windowHeight="12456" activeTab="2" xr2:uid="{00000000-000D-0000-FFFF-FFFF00000000}"/>
  </bookViews>
  <sheets>
    <sheet name="Sales_Data" sheetId="1" r:id="rId1"/>
    <sheet name="Sheet1" sheetId="2" r:id="rId2"/>
    <sheet name="Dashboard" sheetId="3" r:id="rId3"/>
  </sheets>
  <definedNames>
    <definedName name="NativeTimeline_Date_F">#N/A</definedName>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alcChain>
</file>

<file path=xl/sharedStrings.xml><?xml version="1.0" encoding="utf-8"?>
<sst xmlns="http://schemas.openxmlformats.org/spreadsheetml/2006/main" count="732" uniqueCount="138">
  <si>
    <t>Order_ID</t>
  </si>
  <si>
    <t>Date</t>
  </si>
  <si>
    <t>Year</t>
  </si>
  <si>
    <t>Month</t>
  </si>
  <si>
    <t>Region</t>
  </si>
  <si>
    <t>City</t>
  </si>
  <si>
    <t>Product</t>
  </si>
  <si>
    <t>Category</t>
  </si>
  <si>
    <t>Salesperson</t>
  </si>
  <si>
    <t>Quantity</t>
  </si>
  <si>
    <t>Unit_Price</t>
  </si>
  <si>
    <t>Discount_%</t>
  </si>
  <si>
    <t>Sales_Amount</t>
  </si>
  <si>
    <t>Profit</t>
  </si>
  <si>
    <t>01-Jan-2024</t>
  </si>
  <si>
    <t>Jan</t>
  </si>
  <si>
    <t>North</t>
  </si>
  <si>
    <t>Delhi</t>
  </si>
  <si>
    <t>Laptop</t>
  </si>
  <si>
    <t>Electronics</t>
  </si>
  <si>
    <t>Amit</t>
  </si>
  <si>
    <t>02-Feb-2024</t>
  </si>
  <si>
    <t>Feb</t>
  </si>
  <si>
    <t>South</t>
  </si>
  <si>
    <t>Bangalore</t>
  </si>
  <si>
    <t>Mobile</t>
  </si>
  <si>
    <t>Riya</t>
  </si>
  <si>
    <t>03-Mar-2024</t>
  </si>
  <si>
    <t>Mar</t>
  </si>
  <si>
    <t>East</t>
  </si>
  <si>
    <t>Kolkata</t>
  </si>
  <si>
    <t>Tablet</t>
  </si>
  <si>
    <t>Rahul</t>
  </si>
  <si>
    <t>04-Apr-2024</t>
  </si>
  <si>
    <t>Apr</t>
  </si>
  <si>
    <t>West</t>
  </si>
  <si>
    <t>Mumbai</t>
  </si>
  <si>
    <t>Printer</t>
  </si>
  <si>
    <t>Neha</t>
  </si>
  <si>
    <t>05-May-2024</t>
  </si>
  <si>
    <t>May</t>
  </si>
  <si>
    <t>Chair</t>
  </si>
  <si>
    <t>Furniture</t>
  </si>
  <si>
    <t>Karan</t>
  </si>
  <si>
    <t>06-Jun-2024</t>
  </si>
  <si>
    <t>Jun</t>
  </si>
  <si>
    <t>Table</t>
  </si>
  <si>
    <t>07-Jul-2024</t>
  </si>
  <si>
    <t>Jul</t>
  </si>
  <si>
    <t>Sofa</t>
  </si>
  <si>
    <t>08-Aug-2024</t>
  </si>
  <si>
    <t>Aug</t>
  </si>
  <si>
    <t>09-Sep-2024</t>
  </si>
  <si>
    <t>Sep</t>
  </si>
  <si>
    <t>10-Oct-2024</t>
  </si>
  <si>
    <t>Oct</t>
  </si>
  <si>
    <t>11-Nov-2024</t>
  </si>
  <si>
    <t>Nov</t>
  </si>
  <si>
    <t>12-Dec-2024</t>
  </si>
  <si>
    <t>Dec</t>
  </si>
  <si>
    <t>13-Jan-2024</t>
  </si>
  <si>
    <t>14-Feb-2024</t>
  </si>
  <si>
    <t>15-Mar-2024</t>
  </si>
  <si>
    <t>16-Apr-2024</t>
  </si>
  <si>
    <t>17-May-2024</t>
  </si>
  <si>
    <t>18-Jun-2024</t>
  </si>
  <si>
    <t>19-Jul-2024</t>
  </si>
  <si>
    <t>20-Aug-2024</t>
  </si>
  <si>
    <t>21-Sep-2024</t>
  </si>
  <si>
    <t>22-Oct-2024</t>
  </si>
  <si>
    <t>23-Nov-2024</t>
  </si>
  <si>
    <t>24-Dec-2024</t>
  </si>
  <si>
    <t>25-Jan-2024</t>
  </si>
  <si>
    <t>26-Feb-2024</t>
  </si>
  <si>
    <t>27-Mar-2024</t>
  </si>
  <si>
    <t>28-Apr-2024</t>
  </si>
  <si>
    <t>01-May-2024</t>
  </si>
  <si>
    <t>02-Jun-2024</t>
  </si>
  <si>
    <t>03-Jul-2024</t>
  </si>
  <si>
    <t>04-Aug-2024</t>
  </si>
  <si>
    <t>05-Sep-2024</t>
  </si>
  <si>
    <t>06-Oct-2024</t>
  </si>
  <si>
    <t>07-Nov-2024</t>
  </si>
  <si>
    <t>08-Dec-2024</t>
  </si>
  <si>
    <t>09-Jan-2024</t>
  </si>
  <si>
    <t>10-Feb-2024</t>
  </si>
  <si>
    <t>11-Mar-2024</t>
  </si>
  <si>
    <t>12-Apr-2024</t>
  </si>
  <si>
    <t>13-May-2024</t>
  </si>
  <si>
    <t>14-Jun-2024</t>
  </si>
  <si>
    <t>15-Jul-2024</t>
  </si>
  <si>
    <t>16-Aug-2024</t>
  </si>
  <si>
    <t>17-Sep-2024</t>
  </si>
  <si>
    <t>18-Oct-2024</t>
  </si>
  <si>
    <t>19-Nov-2024</t>
  </si>
  <si>
    <t>20-Dec-2024</t>
  </si>
  <si>
    <t>21-Jan-2024</t>
  </si>
  <si>
    <t>22-Feb-2024</t>
  </si>
  <si>
    <t>23-Mar-2024</t>
  </si>
  <si>
    <t>24-Apr-2024</t>
  </si>
  <si>
    <t>25-May-2024</t>
  </si>
  <si>
    <t>26-Jun-2024</t>
  </si>
  <si>
    <t>27-Jul-2024</t>
  </si>
  <si>
    <t>28-Aug-2024</t>
  </si>
  <si>
    <t>01-Sep-2024</t>
  </si>
  <si>
    <t>02-Oct-2024</t>
  </si>
  <si>
    <t>03-Nov-2024</t>
  </si>
  <si>
    <t>04-Dec-2024</t>
  </si>
  <si>
    <t>05-Jan-2024</t>
  </si>
  <si>
    <t>06-Feb-2024</t>
  </si>
  <si>
    <t>07-Mar-2024</t>
  </si>
  <si>
    <t>08-Apr-2024</t>
  </si>
  <si>
    <t>09-May-2024</t>
  </si>
  <si>
    <t>10-Jun-2024</t>
  </si>
  <si>
    <t>11-Jul-2024</t>
  </si>
  <si>
    <t>12-Aug-2024</t>
  </si>
  <si>
    <t>13-Sep-2024</t>
  </si>
  <si>
    <t>14-Oct-2024</t>
  </si>
  <si>
    <t>15-Nov-2024</t>
  </si>
  <si>
    <t>16-Dec-2024</t>
  </si>
  <si>
    <t>17-Jan-2024</t>
  </si>
  <si>
    <t>18-Feb-2024</t>
  </si>
  <si>
    <t>19-Mar-2024</t>
  </si>
  <si>
    <t>20-Apr-2024</t>
  </si>
  <si>
    <t>21-May-2024</t>
  </si>
  <si>
    <t>22-Jun-2024</t>
  </si>
  <si>
    <t>23-Jul-2024</t>
  </si>
  <si>
    <t>24-Aug-2024</t>
  </si>
  <si>
    <t>25-Sep-2024</t>
  </si>
  <si>
    <t>26-Oct-2024</t>
  </si>
  <si>
    <t>27-Nov-2024</t>
  </si>
  <si>
    <t>28-Dec-2024</t>
  </si>
  <si>
    <t>Date_F</t>
  </si>
  <si>
    <t>Sum of Sales_Amount</t>
  </si>
  <si>
    <t>Row Labels</t>
  </si>
  <si>
    <t>Grand Total</t>
  </si>
  <si>
    <t>Column Labels</t>
  </si>
  <si>
    <t>SALES REPORT OF AMAZON(YEAR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</si>
</sst>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30"/>
      <color rgb="FF00B0F0"/>
      <name val="Algerian"/>
      <family val="5"/>
    </font>
  </fonts>
  <fills count="3">
    <fill>
      <patternFill patternType="none"/>
    </fill>
    <fill>
      <patternFill patternType="gray125"/>
    </fill>
    <fill>
      <patternFill patternType="solid">
        <fgColor theme="8" tint="0.59999389629810485"/>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1 FILE.xlsx]Sheet1!PivotTable1</c:name>
    <c:fmtId val="9"/>
  </c:pivotSource>
  <c:chart>
    <c:autoTitleDeleted val="1"/>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tx1">
                        <a:alpha val="47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tx1">
                          <a:alpha val="47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Amit</c:v>
                </c:pt>
                <c:pt idx="1">
                  <c:v>Karan</c:v>
                </c:pt>
                <c:pt idx="2">
                  <c:v>Neha</c:v>
                </c:pt>
                <c:pt idx="3">
                  <c:v>Rahul</c:v>
                </c:pt>
                <c:pt idx="4">
                  <c:v>Riya</c:v>
                </c:pt>
              </c:strCache>
            </c:strRef>
          </c:cat>
          <c:val>
            <c:numRef>
              <c:f>Sheet1!$B$4:$B$9</c:f>
              <c:numCache>
                <c:formatCode>General</c:formatCode>
                <c:ptCount val="5"/>
                <c:pt idx="0">
                  <c:v>273480</c:v>
                </c:pt>
                <c:pt idx="1">
                  <c:v>129000</c:v>
                </c:pt>
                <c:pt idx="2">
                  <c:v>189200</c:v>
                </c:pt>
                <c:pt idx="3">
                  <c:v>55040</c:v>
                </c:pt>
                <c:pt idx="4">
                  <c:v>39560</c:v>
                </c:pt>
              </c:numCache>
            </c:numRef>
          </c:val>
          <c:extLst>
            <c:ext xmlns:c16="http://schemas.microsoft.com/office/drawing/2014/chart" uri="{C3380CC4-5D6E-409C-BE32-E72D297353CC}">
              <c16:uniqueId val="{00000000-CDB0-4020-80D8-46C4DB0CCA89}"/>
            </c:ext>
          </c:extLst>
        </c:ser>
        <c:dLbls>
          <c:dLblPos val="outEnd"/>
          <c:showLegendKey val="0"/>
          <c:showVal val="1"/>
          <c:showCatName val="0"/>
          <c:showSerName val="0"/>
          <c:showPercent val="0"/>
          <c:showBubbleSize val="0"/>
        </c:dLbls>
        <c:gapWidth val="182"/>
        <c:axId val="1598869183"/>
        <c:axId val="1598873023"/>
      </c:barChart>
      <c:catAx>
        <c:axId val="159886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73023"/>
        <c:crosses val="autoZero"/>
        <c:auto val="1"/>
        <c:lblAlgn val="ctr"/>
        <c:lblOffset val="100"/>
        <c:noMultiLvlLbl val="0"/>
      </c:catAx>
      <c:valAx>
        <c:axId val="159887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6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1 FILE.xlsx]Sheet1!PivotTable2</c:name>
    <c:fmtId val="2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Sheet1!$B$11:$B$12</c:f>
              <c:strCache>
                <c:ptCount val="1"/>
                <c:pt idx="0">
                  <c:v>Electronics</c:v>
                </c:pt>
              </c:strCache>
            </c:strRef>
          </c:tx>
          <c:dPt>
            <c:idx val="0"/>
            <c:bubble3D val="0"/>
            <c:extLst>
              <c:ext xmlns:c16="http://schemas.microsoft.com/office/drawing/2014/chart" uri="{C3380CC4-5D6E-409C-BE32-E72D297353CC}">
                <c16:uniqueId val="{00000003-7AFB-4948-A37C-BD832E8887D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Sheet1!$A$13:$A$14</c:f>
              <c:strCache>
                <c:ptCount val="1"/>
                <c:pt idx="0">
                  <c:v>West</c:v>
                </c:pt>
              </c:strCache>
            </c:strRef>
          </c:cat>
          <c:val>
            <c:numRef>
              <c:f>Sheet1!$B$13:$B$14</c:f>
              <c:numCache>
                <c:formatCode>General</c:formatCode>
                <c:ptCount val="1"/>
                <c:pt idx="0">
                  <c:v>524600</c:v>
                </c:pt>
              </c:numCache>
            </c:numRef>
          </c:val>
          <c:extLst>
            <c:ext xmlns:c16="http://schemas.microsoft.com/office/drawing/2014/chart" uri="{C3380CC4-5D6E-409C-BE32-E72D297353CC}">
              <c16:uniqueId val="{00000000-7AFB-4948-A37C-BD832E8887D8}"/>
            </c:ext>
          </c:extLst>
        </c:ser>
        <c:ser>
          <c:idx val="1"/>
          <c:order val="1"/>
          <c:tx>
            <c:strRef>
              <c:f>Sheet1!$C$11:$C$12</c:f>
              <c:strCache>
                <c:ptCount val="1"/>
                <c:pt idx="0">
                  <c:v>Furniture</c:v>
                </c:pt>
              </c:strCache>
            </c:strRef>
          </c:tx>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showLeaderLines val="1"/>
            <c:extLst>
              <c:ext xmlns:c15="http://schemas.microsoft.com/office/drawing/2012/chart" uri="{CE6537A1-D6FC-4f65-9D91-7224C49458BB}"/>
            </c:extLst>
          </c:dLbls>
          <c:cat>
            <c:strRef>
              <c:f>Sheet1!$A$13:$A$14</c:f>
              <c:strCache>
                <c:ptCount val="1"/>
                <c:pt idx="0">
                  <c:v>West</c:v>
                </c:pt>
              </c:strCache>
            </c:strRef>
          </c:cat>
          <c:val>
            <c:numRef>
              <c:f>Sheet1!$C$13:$C$14</c:f>
              <c:numCache>
                <c:formatCode>General</c:formatCode>
                <c:ptCount val="1"/>
                <c:pt idx="0">
                  <c:v>161680</c:v>
                </c:pt>
              </c:numCache>
            </c:numRef>
          </c:val>
          <c:extLst>
            <c:ext xmlns:c16="http://schemas.microsoft.com/office/drawing/2014/chart" uri="{C3380CC4-5D6E-409C-BE32-E72D297353CC}">
              <c16:uniqueId val="{00000006-FD6C-438A-908B-773B0FF47C44}"/>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1 FILE.xlsx]Sheet1!PivotTable1</c:name>
    <c:fmtId val="15"/>
  </c:pivotSource>
  <c:chart>
    <c:autoTitleDeleted val="1"/>
    <c:pivotFmts>
      <c:pivotFmt>
        <c:idx val="0"/>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tx1">
                        <a:alpha val="47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tx1">
                        <a:alpha val="47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tx1">
                        <a:alpha val="47000"/>
                      </a:scheme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Sheet1!$B$3</c:f>
              <c:strCache>
                <c:ptCount val="1"/>
                <c:pt idx="0">
                  <c:v>Total</c:v>
                </c:pt>
              </c:strCache>
            </c:strRef>
          </c:tx>
          <c:spPr>
            <a:solidFill>
              <a:schemeClr val="accent1"/>
            </a:solidFill>
            <a:ln>
              <a:noFill/>
            </a:ln>
            <a:effectLst/>
            <a:sp3d/>
          </c:spPr>
          <c:invertIfNegative val="0"/>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tx1">
                          <a:alpha val="47000"/>
                        </a:schemeClr>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Amit</c:v>
                </c:pt>
                <c:pt idx="1">
                  <c:v>Karan</c:v>
                </c:pt>
                <c:pt idx="2">
                  <c:v>Neha</c:v>
                </c:pt>
                <c:pt idx="3">
                  <c:v>Rahul</c:v>
                </c:pt>
                <c:pt idx="4">
                  <c:v>Riya</c:v>
                </c:pt>
              </c:strCache>
            </c:strRef>
          </c:cat>
          <c:val>
            <c:numRef>
              <c:f>Sheet1!$B$4:$B$9</c:f>
              <c:numCache>
                <c:formatCode>General</c:formatCode>
                <c:ptCount val="5"/>
                <c:pt idx="0">
                  <c:v>273480</c:v>
                </c:pt>
                <c:pt idx="1">
                  <c:v>129000</c:v>
                </c:pt>
                <c:pt idx="2">
                  <c:v>189200</c:v>
                </c:pt>
                <c:pt idx="3">
                  <c:v>55040</c:v>
                </c:pt>
                <c:pt idx="4">
                  <c:v>39560</c:v>
                </c:pt>
              </c:numCache>
            </c:numRef>
          </c:val>
          <c:extLst>
            <c:ext xmlns:c16="http://schemas.microsoft.com/office/drawing/2014/chart" uri="{C3380CC4-5D6E-409C-BE32-E72D297353CC}">
              <c16:uniqueId val="{00000000-2503-4AA7-8017-1D73D229BF6F}"/>
            </c:ext>
          </c:extLst>
        </c:ser>
        <c:dLbls>
          <c:showLegendKey val="0"/>
          <c:showVal val="1"/>
          <c:showCatName val="0"/>
          <c:showSerName val="0"/>
          <c:showPercent val="0"/>
          <c:showBubbleSize val="0"/>
        </c:dLbls>
        <c:gapWidth val="182"/>
        <c:shape val="box"/>
        <c:axId val="1598869183"/>
        <c:axId val="1598873023"/>
        <c:axId val="0"/>
      </c:bar3DChart>
      <c:catAx>
        <c:axId val="1598869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73023"/>
        <c:crosses val="autoZero"/>
        <c:auto val="1"/>
        <c:lblAlgn val="ctr"/>
        <c:lblOffset val="100"/>
        <c:noMultiLvlLbl val="0"/>
      </c:catAx>
      <c:valAx>
        <c:axId val="159887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86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 1 FILE.xlsx]Sheet1!PivotTable2</c:name>
    <c:fmtId val="33"/>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Sheet1!$B$11:$B$12</c:f>
              <c:strCache>
                <c:ptCount val="1"/>
                <c:pt idx="0">
                  <c:v>Electronics</c:v>
                </c:pt>
              </c:strCache>
            </c:strRef>
          </c:tx>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invertIfNegative val="0"/>
          <c:dPt>
            <c:idx val="0"/>
            <c:invertIfNegative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9C0-40DB-8E4F-4B2163B90430}"/>
              </c:ext>
            </c:extLst>
          </c:dPt>
          <c:dLbls>
            <c:dLbl>
              <c:idx val="0"/>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9C0-40DB-8E4F-4B2163B9043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Sheet1!$A$13:$A$14</c:f>
              <c:strCache>
                <c:ptCount val="1"/>
                <c:pt idx="0">
                  <c:v>West</c:v>
                </c:pt>
              </c:strCache>
            </c:strRef>
          </c:cat>
          <c:val>
            <c:numRef>
              <c:f>Sheet1!$B$13:$B$14</c:f>
              <c:numCache>
                <c:formatCode>General</c:formatCode>
                <c:ptCount val="1"/>
                <c:pt idx="0">
                  <c:v>524600</c:v>
                </c:pt>
              </c:numCache>
            </c:numRef>
          </c:val>
          <c:extLst>
            <c:ext xmlns:c16="http://schemas.microsoft.com/office/drawing/2014/chart" uri="{C3380CC4-5D6E-409C-BE32-E72D297353CC}">
              <c16:uniqueId val="{00000008-C9C0-40DB-8E4F-4B2163B90430}"/>
            </c:ext>
          </c:extLst>
        </c:ser>
        <c:ser>
          <c:idx val="1"/>
          <c:order val="1"/>
          <c:tx>
            <c:strRef>
              <c:f>Sheet1!$C$11:$C$12</c:f>
              <c:strCache>
                <c:ptCount val="1"/>
                <c:pt idx="0">
                  <c:v>Furniture</c:v>
                </c:pt>
              </c:strCache>
            </c:strRef>
          </c:tx>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invertIfNegative val="0"/>
          <c:dPt>
            <c:idx val="0"/>
            <c:invertIfNegative val="0"/>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howLegendKey val="0"/>
              <c:showVal val="1"/>
              <c:showCatName val="1"/>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Sheet1!$A$13:$A$14</c:f>
              <c:strCache>
                <c:ptCount val="1"/>
                <c:pt idx="0">
                  <c:v>West</c:v>
                </c:pt>
              </c:strCache>
            </c:strRef>
          </c:cat>
          <c:val>
            <c:numRef>
              <c:f>Sheet1!$C$13:$C$14</c:f>
              <c:numCache>
                <c:formatCode>General</c:formatCode>
                <c:ptCount val="1"/>
                <c:pt idx="0">
                  <c:v>161680</c:v>
                </c:pt>
              </c:numCache>
            </c:numRef>
          </c:val>
          <c:extLst>
            <c:ext xmlns:c16="http://schemas.microsoft.com/office/drawing/2014/chart" uri="{C3380CC4-5D6E-409C-BE32-E72D297353CC}">
              <c16:uniqueId val="{00000006-D41E-4B02-8B98-F300D92BC98C}"/>
            </c:ext>
          </c:extLst>
        </c:ser>
        <c:dLbls>
          <c:showLegendKey val="0"/>
          <c:showVal val="0"/>
          <c:showCatName val="0"/>
          <c:showSerName val="0"/>
          <c:showPercent val="0"/>
          <c:showBubbleSize val="0"/>
        </c:dLbls>
        <c:gapWidth val="100"/>
        <c:shape val="box"/>
        <c:axId val="1892571471"/>
        <c:axId val="1892572431"/>
        <c:axId val="0"/>
      </c:bar3DChart>
      <c:catAx>
        <c:axId val="189257147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72431"/>
        <c:crosses val="autoZero"/>
        <c:auto val="1"/>
        <c:lblAlgn val="ctr"/>
        <c:lblOffset val="100"/>
        <c:noMultiLvlLbl val="0"/>
      </c:catAx>
      <c:valAx>
        <c:axId val="189257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7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487680</xdr:colOff>
      <xdr:row>1</xdr:row>
      <xdr:rowOff>19050</xdr:rowOff>
    </xdr:from>
    <xdr:to>
      <xdr:col>8</xdr:col>
      <xdr:colOff>335280</xdr:colOff>
      <xdr:row>9</xdr:row>
      <xdr:rowOff>99060</xdr:rowOff>
    </xdr:to>
    <xdr:graphicFrame macro="">
      <xdr:nvGraphicFramePr>
        <xdr:cNvPr id="2" name="Chart 1">
          <a:extLst>
            <a:ext uri="{FF2B5EF4-FFF2-40B4-BE49-F238E27FC236}">
              <a16:creationId xmlns:a16="http://schemas.microsoft.com/office/drawing/2014/main" id="{F322C2FD-0780-8FC5-1FA1-DD40F7681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11</xdr:row>
      <xdr:rowOff>3810</xdr:rowOff>
    </xdr:from>
    <xdr:to>
      <xdr:col>10</xdr:col>
      <xdr:colOff>518160</xdr:colOff>
      <xdr:row>26</xdr:row>
      <xdr:rowOff>3810</xdr:rowOff>
    </xdr:to>
    <xdr:graphicFrame macro="">
      <xdr:nvGraphicFramePr>
        <xdr:cNvPr id="4" name="Chart 3">
          <a:extLst>
            <a:ext uri="{FF2B5EF4-FFF2-40B4-BE49-F238E27FC236}">
              <a16:creationId xmlns:a16="http://schemas.microsoft.com/office/drawing/2014/main" id="{0D76955A-9993-630F-CC1D-5D2D3ED57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289560</xdr:colOff>
      <xdr:row>10</xdr:row>
      <xdr:rowOff>15240</xdr:rowOff>
    </xdr:from>
    <xdr:to>
      <xdr:col>13</xdr:col>
      <xdr:colOff>251460</xdr:colOff>
      <xdr:row>18</xdr:row>
      <xdr:rowOff>95250</xdr:rowOff>
    </xdr:to>
    <xdr:graphicFrame macro="">
      <xdr:nvGraphicFramePr>
        <xdr:cNvPr id="2" name="Chart 1">
          <a:extLst>
            <a:ext uri="{FF2B5EF4-FFF2-40B4-BE49-F238E27FC236}">
              <a16:creationId xmlns:a16="http://schemas.microsoft.com/office/drawing/2014/main" id="{ABA60E42-B78C-43F3-999D-B51531DDC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7</xdr:row>
      <xdr:rowOff>68580</xdr:rowOff>
    </xdr:from>
    <xdr:to>
      <xdr:col>20</xdr:col>
      <xdr:colOff>53340</xdr:colOff>
      <xdr:row>22</xdr:row>
      <xdr:rowOff>68580</xdr:rowOff>
    </xdr:to>
    <xdr:graphicFrame macro="">
      <xdr:nvGraphicFramePr>
        <xdr:cNvPr id="4" name="Chart 3">
          <a:extLst>
            <a:ext uri="{FF2B5EF4-FFF2-40B4-BE49-F238E27FC236}">
              <a16:creationId xmlns:a16="http://schemas.microsoft.com/office/drawing/2014/main" id="{D3715D2C-0029-4F02-ABAE-3993C48666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205740</xdr:colOff>
      <xdr:row>3</xdr:row>
      <xdr:rowOff>83821</xdr:rowOff>
    </xdr:from>
    <xdr:to>
      <xdr:col>19</xdr:col>
      <xdr:colOff>480060</xdr:colOff>
      <xdr:row>6</xdr:row>
      <xdr:rowOff>99060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AD4F8458-8EC9-709D-0AD5-5E9A5A1ABBB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472940" y="632461"/>
              <a:ext cx="7589520" cy="56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541020</xdr:colOff>
      <xdr:row>18</xdr:row>
      <xdr:rowOff>144780</xdr:rowOff>
    </xdr:from>
    <xdr:to>
      <xdr:col>13</xdr:col>
      <xdr:colOff>220980</xdr:colOff>
      <xdr:row>26</xdr:row>
      <xdr:rowOff>53340</xdr:rowOff>
    </xdr:to>
    <mc:AlternateContent xmlns:mc="http://schemas.openxmlformats.org/markup-compatibility/2006" xmlns:tsle="http://schemas.microsoft.com/office/drawing/2012/timeslicer">
      <mc:Choice Requires="tsle">
        <xdr:graphicFrame macro="">
          <xdr:nvGraphicFramePr>
            <xdr:cNvPr id="6" name="Date_F">
              <a:extLst>
                <a:ext uri="{FF2B5EF4-FFF2-40B4-BE49-F238E27FC236}">
                  <a16:creationId xmlns:a16="http://schemas.microsoft.com/office/drawing/2014/main" id="{51CA5E45-B506-14B6-1CAC-15CEAC070AD5}"/>
                </a:ext>
              </a:extLst>
            </xdr:cNvPr>
            <xdr:cNvGraphicFramePr/>
          </xdr:nvGraphicFramePr>
          <xdr:xfrm>
            <a:off x="0" y="0"/>
            <a:ext cx="0" cy="0"/>
          </xdr:xfrm>
          <a:graphic>
            <a:graphicData uri="http://schemas.microsoft.com/office/drawing/2012/timeslicer">
              <tsle:timeslicer name="Date_F"/>
            </a:graphicData>
          </a:graphic>
        </xdr:graphicFrame>
      </mc:Choice>
      <mc:Fallback xmlns="">
        <xdr:sp macro="" textlink="">
          <xdr:nvSpPr>
            <xdr:cNvPr id="0" name=""/>
            <xdr:cNvSpPr>
              <a:spLocks noTextEdit="1"/>
            </xdr:cNvSpPr>
          </xdr:nvSpPr>
          <xdr:spPr>
            <a:xfrm>
              <a:off x="4808220" y="34366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 Bhatt" refreshedDate="46042.650427430555" createdVersion="8" refreshedVersion="8" minRefreshableVersion="3" recordCount="100" xr:uid="{1CE9CEC4-9288-49DA-8313-CB42206AFBAA}">
  <cacheSource type="worksheet">
    <worksheetSource name="Table1"/>
  </cacheSource>
  <cacheFields count="15">
    <cacheField name="Order_ID" numFmtId="0">
      <sharedItems containsSemiMixedTypes="0" containsString="0" containsNumber="1" containsInteger="1" minValue="1" maxValue="100"/>
    </cacheField>
    <cacheField name="Date" numFmtId="14">
      <sharedItems/>
    </cacheField>
    <cacheField name="Date_F" numFmtId="14">
      <sharedItems containsSemiMixedTypes="0" containsNonDate="0" containsDate="1" containsString="0" minDate="2024-01-01T00:00:00" maxDate="2024-12-29T00:00:00" count="84">
        <d v="2024-01-01T00:00:00"/>
        <d v="2024-02-02T00:00:00"/>
        <d v="2024-03-03T00:00:00"/>
        <d v="2024-04-04T00:00:00"/>
        <d v="2024-05-05T00:00:00"/>
        <d v="2024-06-06T00:00:00"/>
        <d v="2024-07-07T00:00:00"/>
        <d v="2024-08-08T00:00:00"/>
        <d v="2024-09-09T00:00:00"/>
        <d v="2024-10-10T00:00:00"/>
        <d v="2024-11-11T00:00:00"/>
        <d v="2024-12-12T00:00:00"/>
        <d v="2024-01-13T00:00:00"/>
        <d v="2024-02-14T00:00:00"/>
        <d v="2024-03-15T00:00:00"/>
        <d v="2024-04-16T00:00:00"/>
        <d v="2024-05-17T00:00:00"/>
        <d v="2024-06-18T00:00:00"/>
        <d v="2024-07-19T00:00:00"/>
        <d v="2024-08-20T00:00:00"/>
        <d v="2024-09-21T00:00:00"/>
        <d v="2024-10-22T00:00:00"/>
        <d v="2024-11-23T00:00:00"/>
        <d v="2024-12-24T00:00:00"/>
        <d v="2024-01-25T00:00:00"/>
        <d v="2024-02-26T00:00:00"/>
        <d v="2024-03-27T00:00:00"/>
        <d v="2024-04-28T00:00:00"/>
        <d v="2024-05-01T00:00:00"/>
        <d v="2024-06-02T00:00:00"/>
        <d v="2024-07-03T00:00:00"/>
        <d v="2024-08-04T00:00:00"/>
        <d v="2024-09-05T00:00:00"/>
        <d v="2024-10-06T00:00:00"/>
        <d v="2024-11-07T00:00:00"/>
        <d v="2024-12-08T00:00:00"/>
        <d v="2024-01-09T00:00:00"/>
        <d v="2024-02-10T00:00:00"/>
        <d v="2024-03-11T00:00:00"/>
        <d v="2024-04-12T00:00:00"/>
        <d v="2024-05-13T00:00:00"/>
        <d v="2024-06-14T00:00:00"/>
        <d v="2024-07-15T00:00:00"/>
        <d v="2024-08-16T00:00:00"/>
        <d v="2024-09-17T00:00:00"/>
        <d v="2024-10-18T00:00:00"/>
        <d v="2024-11-19T00:00:00"/>
        <d v="2024-12-20T00:00:00"/>
        <d v="2024-01-21T00:00:00"/>
        <d v="2024-02-22T00:00:00"/>
        <d v="2024-03-23T00:00:00"/>
        <d v="2024-04-24T00:00:00"/>
        <d v="2024-05-25T00:00:00"/>
        <d v="2024-06-26T00:00:00"/>
        <d v="2024-07-27T00:00:00"/>
        <d v="2024-08-28T00:00:00"/>
        <d v="2024-09-01T00:00:00"/>
        <d v="2024-10-02T00:00:00"/>
        <d v="2024-11-03T00:00:00"/>
        <d v="2024-12-04T00:00:00"/>
        <d v="2024-01-05T00:00:00"/>
        <d v="2024-02-06T00:00:00"/>
        <d v="2024-03-07T00:00:00"/>
        <d v="2024-04-08T00:00:00"/>
        <d v="2024-05-09T00:00:00"/>
        <d v="2024-06-10T00:00:00"/>
        <d v="2024-07-11T00:00:00"/>
        <d v="2024-08-12T00:00:00"/>
        <d v="2024-09-13T00:00:00"/>
        <d v="2024-10-14T00:00:00"/>
        <d v="2024-11-15T00:00:00"/>
        <d v="2024-12-16T00:00:00"/>
        <d v="2024-01-17T00:00:00"/>
        <d v="2024-02-18T00:00:00"/>
        <d v="2024-03-19T00:00:00"/>
        <d v="2024-04-20T00:00:00"/>
        <d v="2024-05-21T00:00:00"/>
        <d v="2024-06-22T00:00:00"/>
        <d v="2024-07-23T00:00:00"/>
        <d v="2024-08-24T00:00:00"/>
        <d v="2024-09-25T00:00:00"/>
        <d v="2024-10-26T00:00:00"/>
        <d v="2024-11-27T00:00:00"/>
        <d v="2024-12-28T00:00:00"/>
      </sharedItems>
    </cacheField>
    <cacheField name="Year" numFmtId="0">
      <sharedItems containsSemiMixedTypes="0" containsString="0" containsNumber="1" containsInteger="1" minValue="2024" maxValue="2024"/>
    </cacheField>
    <cacheField name="Month" numFmtId="0">
      <sharedItems/>
    </cacheField>
    <cacheField name="Region" numFmtId="0">
      <sharedItems count="4">
        <s v="North"/>
        <s v="South"/>
        <s v="East"/>
        <s v="West"/>
      </sharedItems>
    </cacheField>
    <cacheField name="City" numFmtId="0">
      <sharedItems count="4">
        <s v="Delhi"/>
        <s v="Bangalore"/>
        <s v="Kolkata"/>
        <s v="Mumbai"/>
      </sharedItems>
    </cacheField>
    <cacheField name="Product" numFmtId="0">
      <sharedItems/>
    </cacheField>
    <cacheField name="Category" numFmtId="0">
      <sharedItems count="2">
        <s v="Electronics"/>
        <s v="Furniture"/>
      </sharedItems>
    </cacheField>
    <cacheField name="Salesperson" numFmtId="0">
      <sharedItems count="5">
        <s v="Amit"/>
        <s v="Riya"/>
        <s v="Rahul"/>
        <s v="Neha"/>
        <s v="Karan"/>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3000" maxValue="50000"/>
    </cacheField>
    <cacheField name="Discount_%" numFmtId="0">
      <sharedItems containsSemiMixedTypes="0" containsString="0" containsNumber="1" containsInteger="1" minValue="3" maxValue="14"/>
    </cacheField>
    <cacheField name="Sales_Amount" numFmtId="0">
      <sharedItems containsSemiMixedTypes="0" containsString="0" containsNumber="1" containsInteger="1" minValue="2910" maxValue="480000"/>
    </cacheField>
    <cacheField name="Profit" numFmtId="0">
      <sharedItems containsSemiMixedTypes="0" containsString="0" containsNumber="1" minValue="436.5" maxValue="72000"/>
    </cacheField>
  </cacheFields>
  <extLst>
    <ext xmlns:x14="http://schemas.microsoft.com/office/spreadsheetml/2009/9/main" uri="{725AE2AE-9491-48be-B2B4-4EB974FC3084}">
      <x14:pivotCacheDefinition pivotCacheId="1810098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s v="01-Jan-2024"/>
    <x v="0"/>
    <n v="2024"/>
    <s v="Jan"/>
    <x v="0"/>
    <x v="0"/>
    <s v="Laptop"/>
    <x v="0"/>
    <x v="0"/>
    <n v="1"/>
    <n v="50000"/>
    <n v="3"/>
    <n v="48500"/>
    <n v="7275"/>
  </r>
  <r>
    <n v="2"/>
    <s v="02-Feb-2024"/>
    <x v="1"/>
    <n v="2024"/>
    <s v="Feb"/>
    <x v="1"/>
    <x v="1"/>
    <s v="Mobile"/>
    <x v="0"/>
    <x v="1"/>
    <n v="2"/>
    <n v="20000"/>
    <n v="4"/>
    <n v="38400"/>
    <n v="5760"/>
  </r>
  <r>
    <n v="3"/>
    <s v="03-Mar-2024"/>
    <x v="2"/>
    <n v="2024"/>
    <s v="Mar"/>
    <x v="2"/>
    <x v="2"/>
    <s v="Tablet"/>
    <x v="0"/>
    <x v="2"/>
    <n v="3"/>
    <n v="30000"/>
    <n v="5"/>
    <n v="85500"/>
    <n v="12825"/>
  </r>
  <r>
    <n v="4"/>
    <s v="04-Apr-2024"/>
    <x v="3"/>
    <n v="2024"/>
    <s v="Apr"/>
    <x v="3"/>
    <x v="3"/>
    <s v="Printer"/>
    <x v="0"/>
    <x v="3"/>
    <n v="4"/>
    <n v="15000"/>
    <n v="6"/>
    <n v="56400"/>
    <n v="8460"/>
  </r>
  <r>
    <n v="5"/>
    <s v="05-May-2024"/>
    <x v="4"/>
    <n v="2024"/>
    <s v="May"/>
    <x v="0"/>
    <x v="0"/>
    <s v="Chair"/>
    <x v="1"/>
    <x v="4"/>
    <n v="5"/>
    <n v="3000"/>
    <n v="7"/>
    <n v="13950"/>
    <n v="2092.5"/>
  </r>
  <r>
    <n v="6"/>
    <s v="06-Jun-2024"/>
    <x v="5"/>
    <n v="2024"/>
    <s v="Jun"/>
    <x v="1"/>
    <x v="1"/>
    <s v="Table"/>
    <x v="1"/>
    <x v="0"/>
    <n v="6"/>
    <n v="8000"/>
    <n v="8"/>
    <n v="44160"/>
    <n v="6624"/>
  </r>
  <r>
    <n v="7"/>
    <s v="07-Jul-2024"/>
    <x v="6"/>
    <n v="2024"/>
    <s v="Jul"/>
    <x v="2"/>
    <x v="2"/>
    <s v="Sofa"/>
    <x v="1"/>
    <x v="1"/>
    <n v="7"/>
    <n v="25000"/>
    <n v="9"/>
    <n v="159250"/>
    <n v="23887.5"/>
  </r>
  <r>
    <n v="8"/>
    <s v="08-Aug-2024"/>
    <x v="7"/>
    <n v="2024"/>
    <s v="Aug"/>
    <x v="3"/>
    <x v="3"/>
    <s v="Laptop"/>
    <x v="0"/>
    <x v="2"/>
    <n v="8"/>
    <n v="50000"/>
    <n v="10"/>
    <n v="360000"/>
    <n v="54000"/>
  </r>
  <r>
    <n v="9"/>
    <s v="09-Sep-2024"/>
    <x v="8"/>
    <n v="2024"/>
    <s v="Sep"/>
    <x v="0"/>
    <x v="0"/>
    <s v="Mobile"/>
    <x v="0"/>
    <x v="3"/>
    <n v="9"/>
    <n v="20000"/>
    <n v="11"/>
    <n v="160200"/>
    <n v="24030"/>
  </r>
  <r>
    <n v="10"/>
    <s v="10-Oct-2024"/>
    <x v="9"/>
    <n v="2024"/>
    <s v="Oct"/>
    <x v="1"/>
    <x v="1"/>
    <s v="Tablet"/>
    <x v="0"/>
    <x v="4"/>
    <n v="10"/>
    <n v="30000"/>
    <n v="12"/>
    <n v="264000"/>
    <n v="39600"/>
  </r>
  <r>
    <n v="11"/>
    <s v="11-Nov-2024"/>
    <x v="10"/>
    <n v="2024"/>
    <s v="Nov"/>
    <x v="2"/>
    <x v="2"/>
    <s v="Printer"/>
    <x v="0"/>
    <x v="0"/>
    <n v="1"/>
    <n v="15000"/>
    <n v="13"/>
    <n v="13050"/>
    <n v="1957.5"/>
  </r>
  <r>
    <n v="12"/>
    <s v="12-Dec-2024"/>
    <x v="11"/>
    <n v="2024"/>
    <s v="Dec"/>
    <x v="3"/>
    <x v="3"/>
    <s v="Chair"/>
    <x v="1"/>
    <x v="1"/>
    <n v="2"/>
    <n v="3000"/>
    <n v="14"/>
    <n v="5160"/>
    <n v="774"/>
  </r>
  <r>
    <n v="13"/>
    <s v="13-Jan-2024"/>
    <x v="12"/>
    <n v="2024"/>
    <s v="Jan"/>
    <x v="0"/>
    <x v="0"/>
    <s v="Table"/>
    <x v="1"/>
    <x v="2"/>
    <n v="3"/>
    <n v="8000"/>
    <n v="3"/>
    <n v="23280"/>
    <n v="3492"/>
  </r>
  <r>
    <n v="14"/>
    <s v="14-Feb-2024"/>
    <x v="13"/>
    <n v="2024"/>
    <s v="Feb"/>
    <x v="1"/>
    <x v="1"/>
    <s v="Sofa"/>
    <x v="1"/>
    <x v="3"/>
    <n v="4"/>
    <n v="25000"/>
    <n v="4"/>
    <n v="96000"/>
    <n v="14400"/>
  </r>
  <r>
    <n v="15"/>
    <s v="15-Mar-2024"/>
    <x v="14"/>
    <n v="2024"/>
    <s v="Mar"/>
    <x v="2"/>
    <x v="2"/>
    <s v="Laptop"/>
    <x v="0"/>
    <x v="4"/>
    <n v="5"/>
    <n v="50000"/>
    <n v="5"/>
    <n v="237500"/>
    <n v="35625"/>
  </r>
  <r>
    <n v="16"/>
    <s v="16-Apr-2024"/>
    <x v="15"/>
    <n v="2024"/>
    <s v="Apr"/>
    <x v="3"/>
    <x v="3"/>
    <s v="Mobile"/>
    <x v="0"/>
    <x v="0"/>
    <n v="6"/>
    <n v="20000"/>
    <n v="6"/>
    <n v="112800"/>
    <n v="16920"/>
  </r>
  <r>
    <n v="17"/>
    <s v="17-May-2024"/>
    <x v="16"/>
    <n v="2024"/>
    <s v="May"/>
    <x v="0"/>
    <x v="0"/>
    <s v="Tablet"/>
    <x v="0"/>
    <x v="1"/>
    <n v="7"/>
    <n v="30000"/>
    <n v="7"/>
    <n v="195300"/>
    <n v="29295"/>
  </r>
  <r>
    <n v="18"/>
    <s v="18-Jun-2024"/>
    <x v="17"/>
    <n v="2024"/>
    <s v="Jun"/>
    <x v="1"/>
    <x v="1"/>
    <s v="Printer"/>
    <x v="0"/>
    <x v="2"/>
    <n v="8"/>
    <n v="15000"/>
    <n v="8"/>
    <n v="110400"/>
    <n v="16560"/>
  </r>
  <r>
    <n v="19"/>
    <s v="19-Jul-2024"/>
    <x v="18"/>
    <n v="2024"/>
    <s v="Jul"/>
    <x v="2"/>
    <x v="2"/>
    <s v="Chair"/>
    <x v="1"/>
    <x v="3"/>
    <n v="9"/>
    <n v="3000"/>
    <n v="9"/>
    <n v="24570"/>
    <n v="3685.5"/>
  </r>
  <r>
    <n v="20"/>
    <s v="20-Aug-2024"/>
    <x v="19"/>
    <n v="2024"/>
    <s v="Aug"/>
    <x v="3"/>
    <x v="3"/>
    <s v="Table"/>
    <x v="1"/>
    <x v="4"/>
    <n v="10"/>
    <n v="8000"/>
    <n v="10"/>
    <n v="72000"/>
    <n v="10800"/>
  </r>
  <r>
    <n v="21"/>
    <s v="21-Sep-2024"/>
    <x v="20"/>
    <n v="2024"/>
    <s v="Sep"/>
    <x v="0"/>
    <x v="0"/>
    <s v="Sofa"/>
    <x v="1"/>
    <x v="0"/>
    <n v="1"/>
    <n v="25000"/>
    <n v="11"/>
    <n v="22250"/>
    <n v="3337.5"/>
  </r>
  <r>
    <n v="22"/>
    <s v="22-Oct-2024"/>
    <x v="21"/>
    <n v="2024"/>
    <s v="Oct"/>
    <x v="1"/>
    <x v="1"/>
    <s v="Laptop"/>
    <x v="0"/>
    <x v="1"/>
    <n v="2"/>
    <n v="50000"/>
    <n v="12"/>
    <n v="88000"/>
    <n v="13200"/>
  </r>
  <r>
    <n v="23"/>
    <s v="23-Nov-2024"/>
    <x v="22"/>
    <n v="2024"/>
    <s v="Nov"/>
    <x v="2"/>
    <x v="2"/>
    <s v="Mobile"/>
    <x v="0"/>
    <x v="2"/>
    <n v="3"/>
    <n v="20000"/>
    <n v="13"/>
    <n v="52200"/>
    <n v="7830"/>
  </r>
  <r>
    <n v="24"/>
    <s v="24-Dec-2024"/>
    <x v="23"/>
    <n v="2024"/>
    <s v="Dec"/>
    <x v="3"/>
    <x v="3"/>
    <s v="Tablet"/>
    <x v="0"/>
    <x v="3"/>
    <n v="4"/>
    <n v="30000"/>
    <n v="14"/>
    <n v="103200"/>
    <n v="15480"/>
  </r>
  <r>
    <n v="25"/>
    <s v="25-Jan-2024"/>
    <x v="24"/>
    <n v="2024"/>
    <s v="Jan"/>
    <x v="0"/>
    <x v="0"/>
    <s v="Printer"/>
    <x v="0"/>
    <x v="4"/>
    <n v="5"/>
    <n v="15000"/>
    <n v="3"/>
    <n v="72750"/>
    <n v="10912.5"/>
  </r>
  <r>
    <n v="26"/>
    <s v="26-Feb-2024"/>
    <x v="25"/>
    <n v="2024"/>
    <s v="Feb"/>
    <x v="1"/>
    <x v="1"/>
    <s v="Chair"/>
    <x v="1"/>
    <x v="0"/>
    <n v="6"/>
    <n v="3000"/>
    <n v="4"/>
    <n v="17280"/>
    <n v="2592"/>
  </r>
  <r>
    <n v="27"/>
    <s v="27-Mar-2024"/>
    <x v="26"/>
    <n v="2024"/>
    <s v="Mar"/>
    <x v="2"/>
    <x v="2"/>
    <s v="Table"/>
    <x v="1"/>
    <x v="1"/>
    <n v="7"/>
    <n v="8000"/>
    <n v="5"/>
    <n v="53200"/>
    <n v="7980"/>
  </r>
  <r>
    <n v="28"/>
    <s v="28-Apr-2024"/>
    <x v="27"/>
    <n v="2024"/>
    <s v="Apr"/>
    <x v="3"/>
    <x v="3"/>
    <s v="Sofa"/>
    <x v="1"/>
    <x v="2"/>
    <n v="8"/>
    <n v="25000"/>
    <n v="6"/>
    <n v="188000"/>
    <n v="28200"/>
  </r>
  <r>
    <n v="29"/>
    <s v="01-May-2024"/>
    <x v="28"/>
    <n v="2024"/>
    <s v="May"/>
    <x v="0"/>
    <x v="0"/>
    <s v="Laptop"/>
    <x v="0"/>
    <x v="3"/>
    <n v="9"/>
    <n v="50000"/>
    <n v="7"/>
    <n v="418500"/>
    <n v="62775"/>
  </r>
  <r>
    <n v="30"/>
    <s v="02-Jun-2024"/>
    <x v="29"/>
    <n v="2024"/>
    <s v="Jun"/>
    <x v="1"/>
    <x v="1"/>
    <s v="Mobile"/>
    <x v="0"/>
    <x v="4"/>
    <n v="10"/>
    <n v="20000"/>
    <n v="8"/>
    <n v="184000"/>
    <n v="27600"/>
  </r>
  <r>
    <n v="31"/>
    <s v="03-Jul-2024"/>
    <x v="30"/>
    <n v="2024"/>
    <s v="Jul"/>
    <x v="2"/>
    <x v="2"/>
    <s v="Tablet"/>
    <x v="0"/>
    <x v="0"/>
    <n v="1"/>
    <n v="30000"/>
    <n v="9"/>
    <n v="27300"/>
    <n v="4095"/>
  </r>
  <r>
    <n v="32"/>
    <s v="04-Aug-2024"/>
    <x v="31"/>
    <n v="2024"/>
    <s v="Aug"/>
    <x v="3"/>
    <x v="3"/>
    <s v="Printer"/>
    <x v="0"/>
    <x v="1"/>
    <n v="2"/>
    <n v="15000"/>
    <n v="10"/>
    <n v="27000"/>
    <n v="4050"/>
  </r>
  <r>
    <n v="33"/>
    <s v="05-Sep-2024"/>
    <x v="32"/>
    <n v="2024"/>
    <s v="Sep"/>
    <x v="0"/>
    <x v="0"/>
    <s v="Chair"/>
    <x v="1"/>
    <x v="2"/>
    <n v="3"/>
    <n v="3000"/>
    <n v="11"/>
    <n v="8010"/>
    <n v="1201.5"/>
  </r>
  <r>
    <n v="34"/>
    <s v="06-Oct-2024"/>
    <x v="33"/>
    <n v="2024"/>
    <s v="Oct"/>
    <x v="1"/>
    <x v="1"/>
    <s v="Table"/>
    <x v="1"/>
    <x v="3"/>
    <n v="4"/>
    <n v="8000"/>
    <n v="12"/>
    <n v="28160"/>
    <n v="4224"/>
  </r>
  <r>
    <n v="35"/>
    <s v="07-Nov-2024"/>
    <x v="34"/>
    <n v="2024"/>
    <s v="Nov"/>
    <x v="2"/>
    <x v="2"/>
    <s v="Sofa"/>
    <x v="1"/>
    <x v="4"/>
    <n v="5"/>
    <n v="25000"/>
    <n v="13"/>
    <n v="108750"/>
    <n v="16312.5"/>
  </r>
  <r>
    <n v="36"/>
    <s v="08-Dec-2024"/>
    <x v="35"/>
    <n v="2024"/>
    <s v="Dec"/>
    <x v="3"/>
    <x v="3"/>
    <s v="Laptop"/>
    <x v="0"/>
    <x v="0"/>
    <n v="6"/>
    <n v="50000"/>
    <n v="14"/>
    <n v="258000"/>
    <n v="38700"/>
  </r>
  <r>
    <n v="37"/>
    <s v="09-Jan-2024"/>
    <x v="36"/>
    <n v="2024"/>
    <s v="Jan"/>
    <x v="0"/>
    <x v="0"/>
    <s v="Mobile"/>
    <x v="0"/>
    <x v="1"/>
    <n v="7"/>
    <n v="20000"/>
    <n v="3"/>
    <n v="135800"/>
    <n v="20370"/>
  </r>
  <r>
    <n v="38"/>
    <s v="10-Feb-2024"/>
    <x v="37"/>
    <n v="2024"/>
    <s v="Feb"/>
    <x v="1"/>
    <x v="1"/>
    <s v="Tablet"/>
    <x v="0"/>
    <x v="2"/>
    <n v="8"/>
    <n v="30000"/>
    <n v="4"/>
    <n v="230400"/>
    <n v="34560"/>
  </r>
  <r>
    <n v="39"/>
    <s v="11-Mar-2024"/>
    <x v="38"/>
    <n v="2024"/>
    <s v="Mar"/>
    <x v="2"/>
    <x v="2"/>
    <s v="Printer"/>
    <x v="0"/>
    <x v="3"/>
    <n v="9"/>
    <n v="15000"/>
    <n v="5"/>
    <n v="128250"/>
    <n v="19237.5"/>
  </r>
  <r>
    <n v="40"/>
    <s v="12-Apr-2024"/>
    <x v="39"/>
    <n v="2024"/>
    <s v="Apr"/>
    <x v="3"/>
    <x v="3"/>
    <s v="Chair"/>
    <x v="1"/>
    <x v="4"/>
    <n v="10"/>
    <n v="3000"/>
    <n v="6"/>
    <n v="28200"/>
    <n v="4230"/>
  </r>
  <r>
    <n v="41"/>
    <s v="13-May-2024"/>
    <x v="40"/>
    <n v="2024"/>
    <s v="May"/>
    <x v="0"/>
    <x v="0"/>
    <s v="Table"/>
    <x v="1"/>
    <x v="0"/>
    <n v="1"/>
    <n v="8000"/>
    <n v="7"/>
    <n v="7440"/>
    <n v="1116"/>
  </r>
  <r>
    <n v="42"/>
    <s v="14-Jun-2024"/>
    <x v="41"/>
    <n v="2024"/>
    <s v="Jun"/>
    <x v="1"/>
    <x v="1"/>
    <s v="Sofa"/>
    <x v="1"/>
    <x v="1"/>
    <n v="2"/>
    <n v="25000"/>
    <n v="8"/>
    <n v="46000"/>
    <n v="6900"/>
  </r>
  <r>
    <n v="43"/>
    <s v="15-Jul-2024"/>
    <x v="42"/>
    <n v="2024"/>
    <s v="Jul"/>
    <x v="2"/>
    <x v="2"/>
    <s v="Laptop"/>
    <x v="0"/>
    <x v="2"/>
    <n v="3"/>
    <n v="50000"/>
    <n v="9"/>
    <n v="136500"/>
    <n v="20475"/>
  </r>
  <r>
    <n v="44"/>
    <s v="16-Aug-2024"/>
    <x v="43"/>
    <n v="2024"/>
    <s v="Aug"/>
    <x v="3"/>
    <x v="3"/>
    <s v="Mobile"/>
    <x v="0"/>
    <x v="3"/>
    <n v="4"/>
    <n v="20000"/>
    <n v="10"/>
    <n v="72000"/>
    <n v="10800"/>
  </r>
  <r>
    <n v="45"/>
    <s v="17-Sep-2024"/>
    <x v="44"/>
    <n v="2024"/>
    <s v="Sep"/>
    <x v="0"/>
    <x v="0"/>
    <s v="Tablet"/>
    <x v="0"/>
    <x v="4"/>
    <n v="5"/>
    <n v="30000"/>
    <n v="11"/>
    <n v="133500"/>
    <n v="20025"/>
  </r>
  <r>
    <n v="46"/>
    <s v="18-Oct-2024"/>
    <x v="45"/>
    <n v="2024"/>
    <s v="Oct"/>
    <x v="1"/>
    <x v="1"/>
    <s v="Printer"/>
    <x v="0"/>
    <x v="0"/>
    <n v="6"/>
    <n v="15000"/>
    <n v="12"/>
    <n v="79200"/>
    <n v="11880"/>
  </r>
  <r>
    <n v="47"/>
    <s v="19-Nov-2024"/>
    <x v="46"/>
    <n v="2024"/>
    <s v="Nov"/>
    <x v="2"/>
    <x v="2"/>
    <s v="Chair"/>
    <x v="1"/>
    <x v="1"/>
    <n v="7"/>
    <n v="3000"/>
    <n v="13"/>
    <n v="18270"/>
    <n v="2740.5"/>
  </r>
  <r>
    <n v="48"/>
    <s v="20-Dec-2024"/>
    <x v="47"/>
    <n v="2024"/>
    <s v="Dec"/>
    <x v="3"/>
    <x v="3"/>
    <s v="Table"/>
    <x v="1"/>
    <x v="2"/>
    <n v="8"/>
    <n v="8000"/>
    <n v="14"/>
    <n v="55040"/>
    <n v="8256"/>
  </r>
  <r>
    <n v="49"/>
    <s v="21-Jan-2024"/>
    <x v="48"/>
    <n v="2024"/>
    <s v="Jan"/>
    <x v="0"/>
    <x v="0"/>
    <s v="Sofa"/>
    <x v="1"/>
    <x v="3"/>
    <n v="9"/>
    <n v="25000"/>
    <n v="3"/>
    <n v="218250"/>
    <n v="32737.5"/>
  </r>
  <r>
    <n v="50"/>
    <s v="22-Feb-2024"/>
    <x v="49"/>
    <n v="2024"/>
    <s v="Feb"/>
    <x v="1"/>
    <x v="1"/>
    <s v="Laptop"/>
    <x v="0"/>
    <x v="4"/>
    <n v="10"/>
    <n v="50000"/>
    <n v="4"/>
    <n v="480000"/>
    <n v="72000"/>
  </r>
  <r>
    <n v="51"/>
    <s v="23-Mar-2024"/>
    <x v="50"/>
    <n v="2024"/>
    <s v="Mar"/>
    <x v="2"/>
    <x v="2"/>
    <s v="Mobile"/>
    <x v="0"/>
    <x v="0"/>
    <n v="1"/>
    <n v="20000"/>
    <n v="5"/>
    <n v="19000"/>
    <n v="2850"/>
  </r>
  <r>
    <n v="52"/>
    <s v="24-Apr-2024"/>
    <x v="51"/>
    <n v="2024"/>
    <s v="Apr"/>
    <x v="3"/>
    <x v="3"/>
    <s v="Tablet"/>
    <x v="0"/>
    <x v="1"/>
    <n v="2"/>
    <n v="30000"/>
    <n v="6"/>
    <n v="56400"/>
    <n v="8460"/>
  </r>
  <r>
    <n v="53"/>
    <s v="25-May-2024"/>
    <x v="52"/>
    <n v="2024"/>
    <s v="May"/>
    <x v="0"/>
    <x v="0"/>
    <s v="Printer"/>
    <x v="0"/>
    <x v="2"/>
    <n v="3"/>
    <n v="15000"/>
    <n v="7"/>
    <n v="41850"/>
    <n v="6277.5"/>
  </r>
  <r>
    <n v="54"/>
    <s v="26-Jun-2024"/>
    <x v="53"/>
    <n v="2024"/>
    <s v="Jun"/>
    <x v="1"/>
    <x v="1"/>
    <s v="Chair"/>
    <x v="1"/>
    <x v="3"/>
    <n v="4"/>
    <n v="3000"/>
    <n v="8"/>
    <n v="11040"/>
    <n v="1656"/>
  </r>
  <r>
    <n v="55"/>
    <s v="27-Jul-2024"/>
    <x v="54"/>
    <n v="2024"/>
    <s v="Jul"/>
    <x v="2"/>
    <x v="2"/>
    <s v="Table"/>
    <x v="1"/>
    <x v="4"/>
    <n v="5"/>
    <n v="8000"/>
    <n v="9"/>
    <n v="36400"/>
    <n v="5460"/>
  </r>
  <r>
    <n v="56"/>
    <s v="28-Aug-2024"/>
    <x v="55"/>
    <n v="2024"/>
    <s v="Aug"/>
    <x v="3"/>
    <x v="3"/>
    <s v="Sofa"/>
    <x v="1"/>
    <x v="0"/>
    <n v="6"/>
    <n v="25000"/>
    <n v="10"/>
    <n v="135000"/>
    <n v="20250"/>
  </r>
  <r>
    <n v="57"/>
    <s v="01-Sep-2024"/>
    <x v="56"/>
    <n v="2024"/>
    <s v="Sep"/>
    <x v="0"/>
    <x v="0"/>
    <s v="Laptop"/>
    <x v="0"/>
    <x v="1"/>
    <n v="7"/>
    <n v="50000"/>
    <n v="11"/>
    <n v="311500"/>
    <n v="46725"/>
  </r>
  <r>
    <n v="58"/>
    <s v="02-Oct-2024"/>
    <x v="57"/>
    <n v="2024"/>
    <s v="Oct"/>
    <x v="1"/>
    <x v="1"/>
    <s v="Mobile"/>
    <x v="0"/>
    <x v="2"/>
    <n v="8"/>
    <n v="20000"/>
    <n v="12"/>
    <n v="140800"/>
    <n v="21120"/>
  </r>
  <r>
    <n v="59"/>
    <s v="03-Nov-2024"/>
    <x v="58"/>
    <n v="2024"/>
    <s v="Nov"/>
    <x v="2"/>
    <x v="2"/>
    <s v="Tablet"/>
    <x v="0"/>
    <x v="3"/>
    <n v="9"/>
    <n v="30000"/>
    <n v="13"/>
    <n v="234900"/>
    <n v="35235"/>
  </r>
  <r>
    <n v="60"/>
    <s v="04-Dec-2024"/>
    <x v="59"/>
    <n v="2024"/>
    <s v="Dec"/>
    <x v="3"/>
    <x v="3"/>
    <s v="Printer"/>
    <x v="0"/>
    <x v="4"/>
    <n v="10"/>
    <n v="15000"/>
    <n v="14"/>
    <n v="129000"/>
    <n v="19350"/>
  </r>
  <r>
    <n v="61"/>
    <s v="05-Jan-2024"/>
    <x v="60"/>
    <n v="2024"/>
    <s v="Jan"/>
    <x v="0"/>
    <x v="0"/>
    <s v="Chair"/>
    <x v="1"/>
    <x v="0"/>
    <n v="1"/>
    <n v="3000"/>
    <n v="3"/>
    <n v="2910"/>
    <n v="436.5"/>
  </r>
  <r>
    <n v="62"/>
    <s v="06-Feb-2024"/>
    <x v="61"/>
    <n v="2024"/>
    <s v="Feb"/>
    <x v="1"/>
    <x v="1"/>
    <s v="Table"/>
    <x v="1"/>
    <x v="1"/>
    <n v="2"/>
    <n v="8000"/>
    <n v="4"/>
    <n v="15360"/>
    <n v="2304"/>
  </r>
  <r>
    <n v="63"/>
    <s v="07-Mar-2024"/>
    <x v="62"/>
    <n v="2024"/>
    <s v="Mar"/>
    <x v="2"/>
    <x v="2"/>
    <s v="Sofa"/>
    <x v="1"/>
    <x v="2"/>
    <n v="3"/>
    <n v="25000"/>
    <n v="5"/>
    <n v="71250"/>
    <n v="10687.5"/>
  </r>
  <r>
    <n v="64"/>
    <s v="08-Apr-2024"/>
    <x v="63"/>
    <n v="2024"/>
    <s v="Apr"/>
    <x v="3"/>
    <x v="3"/>
    <s v="Laptop"/>
    <x v="0"/>
    <x v="3"/>
    <n v="4"/>
    <n v="50000"/>
    <n v="6"/>
    <n v="188000"/>
    <n v="28200"/>
  </r>
  <r>
    <n v="65"/>
    <s v="09-May-2024"/>
    <x v="64"/>
    <n v="2024"/>
    <s v="May"/>
    <x v="0"/>
    <x v="0"/>
    <s v="Mobile"/>
    <x v="0"/>
    <x v="4"/>
    <n v="5"/>
    <n v="20000"/>
    <n v="7"/>
    <n v="93000"/>
    <n v="13950"/>
  </r>
  <r>
    <n v="66"/>
    <s v="10-Jun-2024"/>
    <x v="65"/>
    <n v="2024"/>
    <s v="Jun"/>
    <x v="1"/>
    <x v="1"/>
    <s v="Tablet"/>
    <x v="0"/>
    <x v="0"/>
    <n v="6"/>
    <n v="30000"/>
    <n v="8"/>
    <n v="165600"/>
    <n v="24840"/>
  </r>
  <r>
    <n v="67"/>
    <s v="11-Jul-2024"/>
    <x v="66"/>
    <n v="2024"/>
    <s v="Jul"/>
    <x v="2"/>
    <x v="2"/>
    <s v="Printer"/>
    <x v="0"/>
    <x v="1"/>
    <n v="7"/>
    <n v="15000"/>
    <n v="9"/>
    <n v="95550"/>
    <n v="14332.5"/>
  </r>
  <r>
    <n v="68"/>
    <s v="12-Aug-2024"/>
    <x v="67"/>
    <n v="2024"/>
    <s v="Aug"/>
    <x v="3"/>
    <x v="3"/>
    <s v="Chair"/>
    <x v="1"/>
    <x v="2"/>
    <n v="8"/>
    <n v="3000"/>
    <n v="10"/>
    <n v="21600"/>
    <n v="3240"/>
  </r>
  <r>
    <n v="69"/>
    <s v="13-Sep-2024"/>
    <x v="68"/>
    <n v="2024"/>
    <s v="Sep"/>
    <x v="0"/>
    <x v="0"/>
    <s v="Table"/>
    <x v="1"/>
    <x v="3"/>
    <n v="9"/>
    <n v="8000"/>
    <n v="11"/>
    <n v="64080"/>
    <n v="9612"/>
  </r>
  <r>
    <n v="70"/>
    <s v="14-Oct-2024"/>
    <x v="69"/>
    <n v="2024"/>
    <s v="Oct"/>
    <x v="1"/>
    <x v="1"/>
    <s v="Sofa"/>
    <x v="1"/>
    <x v="4"/>
    <n v="10"/>
    <n v="25000"/>
    <n v="12"/>
    <n v="220000"/>
    <n v="33000"/>
  </r>
  <r>
    <n v="71"/>
    <s v="15-Nov-2024"/>
    <x v="70"/>
    <n v="2024"/>
    <s v="Nov"/>
    <x v="2"/>
    <x v="2"/>
    <s v="Laptop"/>
    <x v="0"/>
    <x v="0"/>
    <n v="1"/>
    <n v="50000"/>
    <n v="13"/>
    <n v="43500"/>
    <n v="6525"/>
  </r>
  <r>
    <n v="72"/>
    <s v="16-Dec-2024"/>
    <x v="71"/>
    <n v="2024"/>
    <s v="Dec"/>
    <x v="3"/>
    <x v="3"/>
    <s v="Mobile"/>
    <x v="0"/>
    <x v="1"/>
    <n v="2"/>
    <n v="20000"/>
    <n v="14"/>
    <n v="34400"/>
    <n v="5160"/>
  </r>
  <r>
    <n v="73"/>
    <s v="17-Jan-2024"/>
    <x v="72"/>
    <n v="2024"/>
    <s v="Jan"/>
    <x v="0"/>
    <x v="0"/>
    <s v="Tablet"/>
    <x v="0"/>
    <x v="2"/>
    <n v="3"/>
    <n v="30000"/>
    <n v="3"/>
    <n v="87300"/>
    <n v="13095"/>
  </r>
  <r>
    <n v="74"/>
    <s v="18-Feb-2024"/>
    <x v="73"/>
    <n v="2024"/>
    <s v="Feb"/>
    <x v="1"/>
    <x v="1"/>
    <s v="Printer"/>
    <x v="0"/>
    <x v="3"/>
    <n v="4"/>
    <n v="15000"/>
    <n v="4"/>
    <n v="57600"/>
    <n v="8640"/>
  </r>
  <r>
    <n v="75"/>
    <s v="19-Mar-2024"/>
    <x v="74"/>
    <n v="2024"/>
    <s v="Mar"/>
    <x v="2"/>
    <x v="2"/>
    <s v="Chair"/>
    <x v="1"/>
    <x v="4"/>
    <n v="5"/>
    <n v="3000"/>
    <n v="5"/>
    <n v="14250"/>
    <n v="2137.5"/>
  </r>
  <r>
    <n v="76"/>
    <s v="20-Apr-2024"/>
    <x v="75"/>
    <n v="2024"/>
    <s v="Apr"/>
    <x v="3"/>
    <x v="3"/>
    <s v="Table"/>
    <x v="1"/>
    <x v="0"/>
    <n v="6"/>
    <n v="8000"/>
    <n v="6"/>
    <n v="45120"/>
    <n v="6768"/>
  </r>
  <r>
    <n v="77"/>
    <s v="21-May-2024"/>
    <x v="76"/>
    <n v="2024"/>
    <s v="May"/>
    <x v="0"/>
    <x v="0"/>
    <s v="Sofa"/>
    <x v="1"/>
    <x v="1"/>
    <n v="7"/>
    <n v="25000"/>
    <n v="7"/>
    <n v="162750"/>
    <n v="24412.5"/>
  </r>
  <r>
    <n v="78"/>
    <s v="22-Jun-2024"/>
    <x v="77"/>
    <n v="2024"/>
    <s v="Jun"/>
    <x v="1"/>
    <x v="1"/>
    <s v="Laptop"/>
    <x v="0"/>
    <x v="2"/>
    <n v="8"/>
    <n v="50000"/>
    <n v="8"/>
    <n v="368000"/>
    <n v="55200"/>
  </r>
  <r>
    <n v="79"/>
    <s v="23-Jul-2024"/>
    <x v="78"/>
    <n v="2024"/>
    <s v="Jul"/>
    <x v="2"/>
    <x v="2"/>
    <s v="Mobile"/>
    <x v="0"/>
    <x v="3"/>
    <n v="9"/>
    <n v="20000"/>
    <n v="9"/>
    <n v="163800"/>
    <n v="24570"/>
  </r>
  <r>
    <n v="80"/>
    <s v="24-Aug-2024"/>
    <x v="79"/>
    <n v="2024"/>
    <s v="Aug"/>
    <x v="3"/>
    <x v="3"/>
    <s v="Tablet"/>
    <x v="0"/>
    <x v="4"/>
    <n v="10"/>
    <n v="30000"/>
    <n v="10"/>
    <n v="270000"/>
    <n v="40500"/>
  </r>
  <r>
    <n v="81"/>
    <s v="25-Sep-2024"/>
    <x v="80"/>
    <n v="2024"/>
    <s v="Sep"/>
    <x v="0"/>
    <x v="0"/>
    <s v="Printer"/>
    <x v="0"/>
    <x v="0"/>
    <n v="1"/>
    <n v="15000"/>
    <n v="11"/>
    <n v="13350"/>
    <n v="2002.5"/>
  </r>
  <r>
    <n v="82"/>
    <s v="26-Oct-2024"/>
    <x v="81"/>
    <n v="2024"/>
    <s v="Oct"/>
    <x v="1"/>
    <x v="1"/>
    <s v="Chair"/>
    <x v="1"/>
    <x v="1"/>
    <n v="2"/>
    <n v="3000"/>
    <n v="12"/>
    <n v="5280"/>
    <n v="792"/>
  </r>
  <r>
    <n v="83"/>
    <s v="27-Nov-2024"/>
    <x v="82"/>
    <n v="2024"/>
    <s v="Nov"/>
    <x v="2"/>
    <x v="2"/>
    <s v="Table"/>
    <x v="1"/>
    <x v="2"/>
    <n v="3"/>
    <n v="8000"/>
    <n v="13"/>
    <n v="20880"/>
    <n v="3132"/>
  </r>
  <r>
    <n v="84"/>
    <s v="28-Dec-2024"/>
    <x v="83"/>
    <n v="2024"/>
    <s v="Dec"/>
    <x v="3"/>
    <x v="3"/>
    <s v="Sofa"/>
    <x v="1"/>
    <x v="3"/>
    <n v="4"/>
    <n v="25000"/>
    <n v="14"/>
    <n v="86000"/>
    <n v="12900"/>
  </r>
  <r>
    <n v="85"/>
    <s v="01-Jan-2024"/>
    <x v="0"/>
    <n v="2024"/>
    <s v="Jan"/>
    <x v="0"/>
    <x v="0"/>
    <s v="Laptop"/>
    <x v="0"/>
    <x v="4"/>
    <n v="5"/>
    <n v="50000"/>
    <n v="3"/>
    <n v="242500"/>
    <n v="36375"/>
  </r>
  <r>
    <n v="86"/>
    <s v="02-Feb-2024"/>
    <x v="1"/>
    <n v="2024"/>
    <s v="Feb"/>
    <x v="1"/>
    <x v="1"/>
    <s v="Mobile"/>
    <x v="0"/>
    <x v="0"/>
    <n v="6"/>
    <n v="20000"/>
    <n v="4"/>
    <n v="115200"/>
    <n v="17280"/>
  </r>
  <r>
    <n v="87"/>
    <s v="03-Mar-2024"/>
    <x v="2"/>
    <n v="2024"/>
    <s v="Mar"/>
    <x v="2"/>
    <x v="2"/>
    <s v="Tablet"/>
    <x v="0"/>
    <x v="1"/>
    <n v="7"/>
    <n v="30000"/>
    <n v="5"/>
    <n v="199500"/>
    <n v="29925"/>
  </r>
  <r>
    <n v="88"/>
    <s v="04-Apr-2024"/>
    <x v="3"/>
    <n v="2024"/>
    <s v="Apr"/>
    <x v="3"/>
    <x v="3"/>
    <s v="Printer"/>
    <x v="0"/>
    <x v="2"/>
    <n v="8"/>
    <n v="15000"/>
    <n v="6"/>
    <n v="112800"/>
    <n v="16920"/>
  </r>
  <r>
    <n v="89"/>
    <s v="05-May-2024"/>
    <x v="4"/>
    <n v="2024"/>
    <s v="May"/>
    <x v="0"/>
    <x v="0"/>
    <s v="Chair"/>
    <x v="1"/>
    <x v="3"/>
    <n v="9"/>
    <n v="3000"/>
    <n v="7"/>
    <n v="25110"/>
    <n v="3766.5"/>
  </r>
  <r>
    <n v="90"/>
    <s v="06-Jun-2024"/>
    <x v="5"/>
    <n v="2024"/>
    <s v="Jun"/>
    <x v="1"/>
    <x v="1"/>
    <s v="Table"/>
    <x v="1"/>
    <x v="4"/>
    <n v="10"/>
    <n v="8000"/>
    <n v="8"/>
    <n v="73600"/>
    <n v="11040"/>
  </r>
  <r>
    <n v="91"/>
    <s v="07-Jul-2024"/>
    <x v="6"/>
    <n v="2024"/>
    <s v="Jul"/>
    <x v="2"/>
    <x v="2"/>
    <s v="Sofa"/>
    <x v="1"/>
    <x v="0"/>
    <n v="1"/>
    <n v="25000"/>
    <n v="9"/>
    <n v="22750"/>
    <n v="3412.5"/>
  </r>
  <r>
    <n v="92"/>
    <s v="08-Aug-2024"/>
    <x v="7"/>
    <n v="2024"/>
    <s v="Aug"/>
    <x v="3"/>
    <x v="3"/>
    <s v="Laptop"/>
    <x v="0"/>
    <x v="1"/>
    <n v="2"/>
    <n v="50000"/>
    <n v="10"/>
    <n v="90000"/>
    <n v="13500"/>
  </r>
  <r>
    <n v="93"/>
    <s v="09-Sep-2024"/>
    <x v="8"/>
    <n v="2024"/>
    <s v="Sep"/>
    <x v="0"/>
    <x v="0"/>
    <s v="Mobile"/>
    <x v="0"/>
    <x v="2"/>
    <n v="3"/>
    <n v="20000"/>
    <n v="11"/>
    <n v="53400"/>
    <n v="8010"/>
  </r>
  <r>
    <n v="94"/>
    <s v="10-Oct-2024"/>
    <x v="9"/>
    <n v="2024"/>
    <s v="Oct"/>
    <x v="1"/>
    <x v="1"/>
    <s v="Tablet"/>
    <x v="0"/>
    <x v="3"/>
    <n v="4"/>
    <n v="30000"/>
    <n v="12"/>
    <n v="105600"/>
    <n v="15840"/>
  </r>
  <r>
    <n v="95"/>
    <s v="11-Nov-2024"/>
    <x v="10"/>
    <n v="2024"/>
    <s v="Nov"/>
    <x v="2"/>
    <x v="2"/>
    <s v="Printer"/>
    <x v="0"/>
    <x v="4"/>
    <n v="5"/>
    <n v="15000"/>
    <n v="13"/>
    <n v="65250"/>
    <n v="9787.5"/>
  </r>
  <r>
    <n v="96"/>
    <s v="12-Dec-2024"/>
    <x v="11"/>
    <n v="2024"/>
    <s v="Dec"/>
    <x v="3"/>
    <x v="3"/>
    <s v="Chair"/>
    <x v="1"/>
    <x v="0"/>
    <n v="6"/>
    <n v="3000"/>
    <n v="14"/>
    <n v="15480"/>
    <n v="2322"/>
  </r>
  <r>
    <n v="97"/>
    <s v="13-Jan-2024"/>
    <x v="12"/>
    <n v="2024"/>
    <s v="Jan"/>
    <x v="0"/>
    <x v="0"/>
    <s v="Table"/>
    <x v="1"/>
    <x v="1"/>
    <n v="7"/>
    <n v="8000"/>
    <n v="3"/>
    <n v="54320"/>
    <n v="8148"/>
  </r>
  <r>
    <n v="98"/>
    <s v="14-Feb-2024"/>
    <x v="13"/>
    <n v="2024"/>
    <s v="Feb"/>
    <x v="1"/>
    <x v="1"/>
    <s v="Sofa"/>
    <x v="1"/>
    <x v="2"/>
    <n v="8"/>
    <n v="25000"/>
    <n v="4"/>
    <n v="192000"/>
    <n v="28800"/>
  </r>
  <r>
    <n v="99"/>
    <s v="15-Mar-2024"/>
    <x v="14"/>
    <n v="2024"/>
    <s v="Mar"/>
    <x v="2"/>
    <x v="2"/>
    <s v="Laptop"/>
    <x v="0"/>
    <x v="3"/>
    <n v="9"/>
    <n v="50000"/>
    <n v="5"/>
    <n v="427500"/>
    <n v="64125"/>
  </r>
  <r>
    <n v="100"/>
    <s v="16-Apr-2024"/>
    <x v="15"/>
    <n v="2024"/>
    <s v="Apr"/>
    <x v="3"/>
    <x v="3"/>
    <s v="Mobile"/>
    <x v="0"/>
    <x v="4"/>
    <n v="10"/>
    <n v="20000"/>
    <n v="6"/>
    <n v="188000"/>
    <n v="28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64E5BF-466C-42C0-88E2-AC54A66079B1}"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9" firstHeaderRow="1" firstDataRow="1" firstDataCol="1"/>
  <pivotFields count="15">
    <pivotField showAll="0"/>
    <pivotField showAll="0"/>
    <pivotField numFmtId="14" showAll="0">
      <items count="85">
        <item x="0"/>
        <item x="60"/>
        <item x="36"/>
        <item x="12"/>
        <item x="72"/>
        <item x="48"/>
        <item x="24"/>
        <item x="1"/>
        <item x="61"/>
        <item x="37"/>
        <item x="13"/>
        <item x="73"/>
        <item x="49"/>
        <item x="25"/>
        <item x="2"/>
        <item x="62"/>
        <item x="38"/>
        <item x="14"/>
        <item x="74"/>
        <item x="50"/>
        <item x="26"/>
        <item x="3"/>
        <item x="63"/>
        <item x="39"/>
        <item x="15"/>
        <item x="75"/>
        <item x="51"/>
        <item x="27"/>
        <item x="28"/>
        <item x="4"/>
        <item x="64"/>
        <item x="40"/>
        <item x="16"/>
        <item x="76"/>
        <item x="52"/>
        <item x="29"/>
        <item x="5"/>
        <item x="65"/>
        <item x="41"/>
        <item x="17"/>
        <item x="77"/>
        <item x="53"/>
        <item x="30"/>
        <item x="6"/>
        <item x="66"/>
        <item x="42"/>
        <item x="18"/>
        <item x="78"/>
        <item x="54"/>
        <item x="31"/>
        <item x="7"/>
        <item x="67"/>
        <item x="43"/>
        <item x="19"/>
        <item x="79"/>
        <item x="55"/>
        <item x="56"/>
        <item x="32"/>
        <item x="8"/>
        <item x="68"/>
        <item x="44"/>
        <item x="20"/>
        <item x="80"/>
        <item x="57"/>
        <item x="33"/>
        <item x="9"/>
        <item x="69"/>
        <item x="45"/>
        <item x="21"/>
        <item x="81"/>
        <item x="58"/>
        <item x="34"/>
        <item x="10"/>
        <item x="70"/>
        <item x="46"/>
        <item x="22"/>
        <item x="82"/>
        <item x="59"/>
        <item x="35"/>
        <item x="11"/>
        <item x="71"/>
        <item x="47"/>
        <item x="23"/>
        <item x="83"/>
        <item t="default"/>
      </items>
    </pivotField>
    <pivotField showAll="0"/>
    <pivotField showAll="0"/>
    <pivotField showAll="0"/>
    <pivotField showAll="0">
      <items count="5">
        <item h="1" x="1"/>
        <item h="1" x="0"/>
        <item h="1" x="2"/>
        <item x="3"/>
        <item t="default"/>
      </items>
    </pivotField>
    <pivotField showAll="0"/>
    <pivotField showAll="0"/>
    <pivotField axis="axisRow" showAll="0">
      <items count="6">
        <item x="0"/>
        <item x="4"/>
        <item x="3"/>
        <item x="2"/>
        <item x="1"/>
        <item t="default"/>
      </items>
    </pivotField>
    <pivotField showAll="0"/>
    <pivotField showAll="0"/>
    <pivotField showAll="0"/>
    <pivotField dataField="1" showAll="0"/>
    <pivotField showAll="0"/>
  </pivotFields>
  <rowFields count="1">
    <field x="9"/>
  </rowFields>
  <rowItems count="6">
    <i>
      <x/>
    </i>
    <i>
      <x v="1"/>
    </i>
    <i>
      <x v="2"/>
    </i>
    <i>
      <x v="3"/>
    </i>
    <i>
      <x v="4"/>
    </i>
    <i t="grand">
      <x/>
    </i>
  </rowItems>
  <colItems count="1">
    <i/>
  </colItems>
  <dataFields count="1">
    <dataField name="Sum of Sales_Amount" fld="13" baseField="0" baseItem="0"/>
  </dataField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63" name="Date_F">
      <autoFilter ref="A1">
        <filterColumn colId="0">
          <customFilters and="1">
            <customFilter operator="greaterThanOrEqual" val="45566"/>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D4E7F3-FEAC-4EB0-BEEA-C365A75F9D1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A11:D14" firstHeaderRow="1" firstDataRow="2" firstDataCol="1"/>
  <pivotFields count="15">
    <pivotField showAll="0"/>
    <pivotField showAll="0"/>
    <pivotField numFmtId="14" showAll="0">
      <items count="85">
        <item x="0"/>
        <item x="60"/>
        <item x="36"/>
        <item x="12"/>
        <item x="72"/>
        <item x="48"/>
        <item x="24"/>
        <item x="1"/>
        <item x="61"/>
        <item x="37"/>
        <item x="13"/>
        <item x="73"/>
        <item x="49"/>
        <item x="25"/>
        <item x="2"/>
        <item x="62"/>
        <item x="38"/>
        <item x="14"/>
        <item x="74"/>
        <item x="50"/>
        <item x="26"/>
        <item x="3"/>
        <item x="63"/>
        <item x="39"/>
        <item x="15"/>
        <item x="75"/>
        <item x="51"/>
        <item x="27"/>
        <item x="28"/>
        <item x="4"/>
        <item x="64"/>
        <item x="40"/>
        <item x="16"/>
        <item x="76"/>
        <item x="52"/>
        <item x="29"/>
        <item x="5"/>
        <item x="65"/>
        <item x="41"/>
        <item x="17"/>
        <item x="77"/>
        <item x="53"/>
        <item x="30"/>
        <item x="6"/>
        <item x="66"/>
        <item x="42"/>
        <item x="18"/>
        <item x="78"/>
        <item x="54"/>
        <item x="31"/>
        <item x="7"/>
        <item x="67"/>
        <item x="43"/>
        <item x="19"/>
        <item x="79"/>
        <item x="55"/>
        <item x="56"/>
        <item x="32"/>
        <item x="8"/>
        <item x="68"/>
        <item x="44"/>
        <item x="20"/>
        <item x="80"/>
        <item x="57"/>
        <item x="33"/>
        <item x="9"/>
        <item x="69"/>
        <item x="45"/>
        <item x="21"/>
        <item x="81"/>
        <item x="58"/>
        <item x="34"/>
        <item x="10"/>
        <item x="70"/>
        <item x="46"/>
        <item x="22"/>
        <item x="82"/>
        <item x="59"/>
        <item x="35"/>
        <item x="11"/>
        <item x="71"/>
        <item x="47"/>
        <item x="23"/>
        <item x="83"/>
        <item t="default"/>
      </items>
    </pivotField>
    <pivotField showAll="0"/>
    <pivotField showAll="0"/>
    <pivotField axis="axisRow" showAll="0">
      <items count="5">
        <item x="2"/>
        <item x="0"/>
        <item x="1"/>
        <item x="3"/>
        <item t="default"/>
      </items>
    </pivotField>
    <pivotField showAll="0">
      <items count="5">
        <item h="1" x="1"/>
        <item h="1" x="0"/>
        <item h="1" x="2"/>
        <item x="3"/>
        <item t="default"/>
      </items>
    </pivotField>
    <pivotField showAll="0"/>
    <pivotField axis="axisCol" showAll="0">
      <items count="3">
        <item x="0"/>
        <item x="1"/>
        <item t="default"/>
      </items>
    </pivotField>
    <pivotField showAll="0"/>
    <pivotField showAll="0"/>
    <pivotField showAll="0"/>
    <pivotField showAll="0"/>
    <pivotField dataField="1" showAll="0"/>
    <pivotField showAll="0"/>
  </pivotFields>
  <rowFields count="1">
    <field x="5"/>
  </rowFields>
  <rowItems count="2">
    <i>
      <x v="3"/>
    </i>
    <i t="grand">
      <x/>
    </i>
  </rowItems>
  <colFields count="1">
    <field x="8"/>
  </colFields>
  <colItems count="3">
    <i>
      <x/>
    </i>
    <i>
      <x v="1"/>
    </i>
    <i t="grand">
      <x/>
    </i>
  </colItems>
  <dataFields count="1">
    <dataField name="Sum of Sales_Amount" fld="13" baseField="0" baseItem="0"/>
  </dataFields>
  <chartFormats count="66">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pivotArea type="data" outline="0" fieldPosition="0">
        <references count="3">
          <reference field="4294967294" count="1" selected="0">
            <x v="0"/>
          </reference>
          <reference field="5" count="1" selected="0">
            <x v="0"/>
          </reference>
          <reference field="8" count="1" selected="0">
            <x v="0"/>
          </reference>
        </references>
      </pivotArea>
    </chartFormat>
    <chartFormat chart="4" format="3">
      <pivotArea type="data" outline="0" fieldPosition="0">
        <references count="3">
          <reference field="4294967294" count="1" selected="0">
            <x v="0"/>
          </reference>
          <reference field="5" count="1" selected="0">
            <x v="1"/>
          </reference>
          <reference field="8" count="1" selected="0">
            <x v="0"/>
          </reference>
        </references>
      </pivotArea>
    </chartFormat>
    <chartFormat chart="4" format="4">
      <pivotArea type="data" outline="0" fieldPosition="0">
        <references count="3">
          <reference field="4294967294" count="1" selected="0">
            <x v="0"/>
          </reference>
          <reference field="5" count="1" selected="0">
            <x v="2"/>
          </reference>
          <reference field="8" count="1" selected="0">
            <x v="0"/>
          </reference>
        </references>
      </pivotArea>
    </chartFormat>
    <chartFormat chart="4" format="5">
      <pivotArea type="data" outline="0" fieldPosition="0">
        <references count="3">
          <reference field="4294967294" count="1" selected="0">
            <x v="0"/>
          </reference>
          <reference field="5" count="1" selected="0">
            <x v="3"/>
          </reference>
          <reference field="8" count="1" selected="0">
            <x v="0"/>
          </reference>
        </references>
      </pivotArea>
    </chartFormat>
    <chartFormat chart="4" format="6">
      <pivotArea type="data" outline="0" fieldPosition="0">
        <references count="3">
          <reference field="4294967294" count="1" selected="0">
            <x v="0"/>
          </reference>
          <reference field="5" count="1" selected="0">
            <x v="0"/>
          </reference>
          <reference field="8" count="1" selected="0">
            <x v="1"/>
          </reference>
        </references>
      </pivotArea>
    </chartFormat>
    <chartFormat chart="4" format="7">
      <pivotArea type="data" outline="0" fieldPosition="0">
        <references count="3">
          <reference field="4294967294" count="1" selected="0">
            <x v="0"/>
          </reference>
          <reference field="5" count="1" selected="0">
            <x v="1"/>
          </reference>
          <reference field="8" count="1" selected="0">
            <x v="1"/>
          </reference>
        </references>
      </pivotArea>
    </chartFormat>
    <chartFormat chart="4" format="8">
      <pivotArea type="data" outline="0" fieldPosition="0">
        <references count="3">
          <reference field="4294967294" count="1" selected="0">
            <x v="0"/>
          </reference>
          <reference field="5" count="1" selected="0">
            <x v="2"/>
          </reference>
          <reference field="8" count="1" selected="0">
            <x v="1"/>
          </reference>
        </references>
      </pivotArea>
    </chartFormat>
    <chartFormat chart="4" format="9">
      <pivotArea type="data" outline="0" fieldPosition="0">
        <references count="3">
          <reference field="4294967294" count="1" selected="0">
            <x v="0"/>
          </reference>
          <reference field="5" count="1" selected="0">
            <x v="3"/>
          </reference>
          <reference field="8" count="1" selected="0">
            <x v="1"/>
          </reference>
        </references>
      </pivotArea>
    </chartFormat>
    <chartFormat chart="13" format="20" series="1">
      <pivotArea type="data" outline="0" fieldPosition="0">
        <references count="2">
          <reference field="4294967294" count="1" selected="0">
            <x v="0"/>
          </reference>
          <reference field="8" count="1" selected="0">
            <x v="0"/>
          </reference>
        </references>
      </pivotArea>
    </chartFormat>
    <chartFormat chart="13" format="21">
      <pivotArea type="data" outline="0" fieldPosition="0">
        <references count="3">
          <reference field="4294967294" count="1" selected="0">
            <x v="0"/>
          </reference>
          <reference field="5" count="1" selected="0">
            <x v="0"/>
          </reference>
          <reference field="8" count="1" selected="0">
            <x v="0"/>
          </reference>
        </references>
      </pivotArea>
    </chartFormat>
    <chartFormat chart="13" format="22">
      <pivotArea type="data" outline="0" fieldPosition="0">
        <references count="3">
          <reference field="4294967294" count="1" selected="0">
            <x v="0"/>
          </reference>
          <reference field="5" count="1" selected="0">
            <x v="1"/>
          </reference>
          <reference field="8" count="1" selected="0">
            <x v="0"/>
          </reference>
        </references>
      </pivotArea>
    </chartFormat>
    <chartFormat chart="13" format="23">
      <pivotArea type="data" outline="0" fieldPosition="0">
        <references count="3">
          <reference field="4294967294" count="1" selected="0">
            <x v="0"/>
          </reference>
          <reference field="5" count="1" selected="0">
            <x v="2"/>
          </reference>
          <reference field="8" count="1" selected="0">
            <x v="0"/>
          </reference>
        </references>
      </pivotArea>
    </chartFormat>
    <chartFormat chart="13" format="24">
      <pivotArea type="data" outline="0" fieldPosition="0">
        <references count="3">
          <reference field="4294967294" count="1" selected="0">
            <x v="0"/>
          </reference>
          <reference field="5" count="1" selected="0">
            <x v="3"/>
          </reference>
          <reference field="8" count="1" selected="0">
            <x v="0"/>
          </reference>
        </references>
      </pivotArea>
    </chartFormat>
    <chartFormat chart="13" format="25" series="1">
      <pivotArea type="data" outline="0" fieldPosition="0">
        <references count="2">
          <reference field="4294967294" count="1" selected="0">
            <x v="0"/>
          </reference>
          <reference field="8" count="1" selected="0">
            <x v="1"/>
          </reference>
        </references>
      </pivotArea>
    </chartFormat>
    <chartFormat chart="13" format="26">
      <pivotArea type="data" outline="0" fieldPosition="0">
        <references count="3">
          <reference field="4294967294" count="1" selected="0">
            <x v="0"/>
          </reference>
          <reference field="5" count="1" selected="0">
            <x v="0"/>
          </reference>
          <reference field="8" count="1" selected="0">
            <x v="1"/>
          </reference>
        </references>
      </pivotArea>
    </chartFormat>
    <chartFormat chart="13" format="27">
      <pivotArea type="data" outline="0" fieldPosition="0">
        <references count="3">
          <reference field="4294967294" count="1" selected="0">
            <x v="0"/>
          </reference>
          <reference field="5" count="1" selected="0">
            <x v="1"/>
          </reference>
          <reference field="8" count="1" selected="0">
            <x v="1"/>
          </reference>
        </references>
      </pivotArea>
    </chartFormat>
    <chartFormat chart="13" format="28">
      <pivotArea type="data" outline="0" fieldPosition="0">
        <references count="3">
          <reference field="4294967294" count="1" selected="0">
            <x v="0"/>
          </reference>
          <reference field="5" count="1" selected="0">
            <x v="2"/>
          </reference>
          <reference field="8" count="1" selected="0">
            <x v="1"/>
          </reference>
        </references>
      </pivotArea>
    </chartFormat>
    <chartFormat chart="13" format="29">
      <pivotArea type="data" outline="0" fieldPosition="0">
        <references count="3">
          <reference field="4294967294" count="1" selected="0">
            <x v="0"/>
          </reference>
          <reference field="5" count="1" selected="0">
            <x v="3"/>
          </reference>
          <reference field="8" count="1" selected="0">
            <x v="1"/>
          </reference>
        </references>
      </pivotArea>
    </chartFormat>
    <chartFormat chart="20" format="0" series="1">
      <pivotArea type="data" outline="0" fieldPosition="0">
        <references count="2">
          <reference field="4294967294" count="1" selected="0">
            <x v="0"/>
          </reference>
          <reference field="8" count="1" selected="0">
            <x v="0"/>
          </reference>
        </references>
      </pivotArea>
    </chartFormat>
    <chartFormat chart="20" format="1" series="1">
      <pivotArea type="data" outline="0" fieldPosition="0">
        <references count="2">
          <reference field="4294967294" count="1" selected="0">
            <x v="0"/>
          </reference>
          <reference field="8" count="1" selected="0">
            <x v="1"/>
          </reference>
        </references>
      </pivotArea>
    </chartFormat>
    <chartFormat chart="20" format="2">
      <pivotArea type="data" outline="0" fieldPosition="0">
        <references count="3">
          <reference field="4294967294" count="1" selected="0">
            <x v="0"/>
          </reference>
          <reference field="5" count="1" selected="0">
            <x v="0"/>
          </reference>
          <reference field="8" count="1" selected="0">
            <x v="0"/>
          </reference>
        </references>
      </pivotArea>
    </chartFormat>
    <chartFormat chart="20" format="3">
      <pivotArea type="data" outline="0" fieldPosition="0">
        <references count="3">
          <reference field="4294967294" count="1" selected="0">
            <x v="0"/>
          </reference>
          <reference field="5" count="1" selected="0">
            <x v="1"/>
          </reference>
          <reference field="8" count="1" selected="0">
            <x v="0"/>
          </reference>
        </references>
      </pivotArea>
    </chartFormat>
    <chartFormat chart="20" format="4">
      <pivotArea type="data" outline="0" fieldPosition="0">
        <references count="3">
          <reference field="4294967294" count="1" selected="0">
            <x v="0"/>
          </reference>
          <reference field="5" count="1" selected="0">
            <x v="2"/>
          </reference>
          <reference field="8" count="1" selected="0">
            <x v="0"/>
          </reference>
        </references>
      </pivotArea>
    </chartFormat>
    <chartFormat chart="20" format="5">
      <pivotArea type="data" outline="0" fieldPosition="0">
        <references count="3">
          <reference field="4294967294" count="1" selected="0">
            <x v="0"/>
          </reference>
          <reference field="5" count="1" selected="0">
            <x v="3"/>
          </reference>
          <reference field="8" count="1" selected="0">
            <x v="0"/>
          </reference>
        </references>
      </pivotArea>
    </chartFormat>
    <chartFormat chart="20" format="6">
      <pivotArea type="data" outline="0" fieldPosition="0">
        <references count="3">
          <reference field="4294967294" count="1" selected="0">
            <x v="0"/>
          </reference>
          <reference field="5" count="1" selected="0">
            <x v="0"/>
          </reference>
          <reference field="8" count="1" selected="0">
            <x v="1"/>
          </reference>
        </references>
      </pivotArea>
    </chartFormat>
    <chartFormat chart="20" format="7">
      <pivotArea type="data" outline="0" fieldPosition="0">
        <references count="3">
          <reference field="4294967294" count="1" selected="0">
            <x v="0"/>
          </reference>
          <reference field="5" count="1" selected="0">
            <x v="1"/>
          </reference>
          <reference field="8" count="1" selected="0">
            <x v="1"/>
          </reference>
        </references>
      </pivotArea>
    </chartFormat>
    <chartFormat chart="20" format="8">
      <pivotArea type="data" outline="0" fieldPosition="0">
        <references count="3">
          <reference field="4294967294" count="1" selected="0">
            <x v="0"/>
          </reference>
          <reference field="5" count="1" selected="0">
            <x v="2"/>
          </reference>
          <reference field="8" count="1" selected="0">
            <x v="1"/>
          </reference>
        </references>
      </pivotArea>
    </chartFormat>
    <chartFormat chart="20" format="9">
      <pivotArea type="data" outline="0" fieldPosition="0">
        <references count="3">
          <reference field="4294967294" count="1" selected="0">
            <x v="0"/>
          </reference>
          <reference field="5" count="1" selected="0">
            <x v="3"/>
          </reference>
          <reference field="8" count="1" selected="0">
            <x v="1"/>
          </reference>
        </references>
      </pivotArea>
    </chartFormat>
    <chartFormat chart="31" format="10" series="1">
      <pivotArea type="data" outline="0" fieldPosition="0">
        <references count="2">
          <reference field="4294967294" count="1" selected="0">
            <x v="0"/>
          </reference>
          <reference field="8" count="1" selected="0">
            <x v="0"/>
          </reference>
        </references>
      </pivotArea>
    </chartFormat>
    <chartFormat chart="31" format="11">
      <pivotArea type="data" outline="0" fieldPosition="0">
        <references count="3">
          <reference field="4294967294" count="1" selected="0">
            <x v="0"/>
          </reference>
          <reference field="5" count="1" selected="0">
            <x v="0"/>
          </reference>
          <reference field="8" count="1" selected="0">
            <x v="0"/>
          </reference>
        </references>
      </pivotArea>
    </chartFormat>
    <chartFormat chart="31" format="12">
      <pivotArea type="data" outline="0" fieldPosition="0">
        <references count="3">
          <reference field="4294967294" count="1" selected="0">
            <x v="0"/>
          </reference>
          <reference field="5" count="1" selected="0">
            <x v="1"/>
          </reference>
          <reference field="8" count="1" selected="0">
            <x v="0"/>
          </reference>
        </references>
      </pivotArea>
    </chartFormat>
    <chartFormat chart="31" format="13">
      <pivotArea type="data" outline="0" fieldPosition="0">
        <references count="3">
          <reference field="4294967294" count="1" selected="0">
            <x v="0"/>
          </reference>
          <reference field="5" count="1" selected="0">
            <x v="2"/>
          </reference>
          <reference field="8" count="1" selected="0">
            <x v="0"/>
          </reference>
        </references>
      </pivotArea>
    </chartFormat>
    <chartFormat chart="31" format="14">
      <pivotArea type="data" outline="0" fieldPosition="0">
        <references count="3">
          <reference field="4294967294" count="1" selected="0">
            <x v="0"/>
          </reference>
          <reference field="5" count="1" selected="0">
            <x v="3"/>
          </reference>
          <reference field="8" count="1" selected="0">
            <x v="0"/>
          </reference>
        </references>
      </pivotArea>
    </chartFormat>
    <chartFormat chart="31" format="15" series="1">
      <pivotArea type="data" outline="0" fieldPosition="0">
        <references count="2">
          <reference field="4294967294" count="1" selected="0">
            <x v="0"/>
          </reference>
          <reference field="8" count="1" selected="0">
            <x v="1"/>
          </reference>
        </references>
      </pivotArea>
    </chartFormat>
    <chartFormat chart="31" format="16">
      <pivotArea type="data" outline="0" fieldPosition="0">
        <references count="3">
          <reference field="4294967294" count="1" selected="0">
            <x v="0"/>
          </reference>
          <reference field="5" count="1" selected="0">
            <x v="0"/>
          </reference>
          <reference field="8" count="1" selected="0">
            <x v="1"/>
          </reference>
        </references>
      </pivotArea>
    </chartFormat>
    <chartFormat chart="31" format="17">
      <pivotArea type="data" outline="0" fieldPosition="0">
        <references count="3">
          <reference field="4294967294" count="1" selected="0">
            <x v="0"/>
          </reference>
          <reference field="5" count="1" selected="0">
            <x v="1"/>
          </reference>
          <reference field="8" count="1" selected="0">
            <x v="1"/>
          </reference>
        </references>
      </pivotArea>
    </chartFormat>
    <chartFormat chart="31" format="18">
      <pivotArea type="data" outline="0" fieldPosition="0">
        <references count="3">
          <reference field="4294967294" count="1" selected="0">
            <x v="0"/>
          </reference>
          <reference field="5" count="1" selected="0">
            <x v="2"/>
          </reference>
          <reference field="8" count="1" selected="0">
            <x v="1"/>
          </reference>
        </references>
      </pivotArea>
    </chartFormat>
    <chartFormat chart="31" format="19">
      <pivotArea type="data" outline="0" fieldPosition="0">
        <references count="3">
          <reference field="4294967294" count="1" selected="0">
            <x v="0"/>
          </reference>
          <reference field="5" count="1" selected="0">
            <x v="3"/>
          </reference>
          <reference field="8" count="1" selected="0">
            <x v="1"/>
          </reference>
        </references>
      </pivotArea>
    </chartFormat>
    <chartFormat chart="32" format="20" series="1">
      <pivotArea type="data" outline="0" fieldPosition="0">
        <references count="2">
          <reference field="4294967294" count="1" selected="0">
            <x v="0"/>
          </reference>
          <reference field="8" count="1" selected="0">
            <x v="0"/>
          </reference>
        </references>
      </pivotArea>
    </chartFormat>
    <chartFormat chart="32" format="21">
      <pivotArea type="data" outline="0" fieldPosition="0">
        <references count="3">
          <reference field="4294967294" count="1" selected="0">
            <x v="0"/>
          </reference>
          <reference field="5" count="1" selected="0">
            <x v="0"/>
          </reference>
          <reference field="8" count="1" selected="0">
            <x v="0"/>
          </reference>
        </references>
      </pivotArea>
    </chartFormat>
    <chartFormat chart="32" format="22">
      <pivotArea type="data" outline="0" fieldPosition="0">
        <references count="3">
          <reference field="4294967294" count="1" selected="0">
            <x v="0"/>
          </reference>
          <reference field="5" count="1" selected="0">
            <x v="1"/>
          </reference>
          <reference field="8" count="1" selected="0">
            <x v="0"/>
          </reference>
        </references>
      </pivotArea>
    </chartFormat>
    <chartFormat chart="32" format="23">
      <pivotArea type="data" outline="0" fieldPosition="0">
        <references count="3">
          <reference field="4294967294" count="1" selected="0">
            <x v="0"/>
          </reference>
          <reference field="5" count="1" selected="0">
            <x v="2"/>
          </reference>
          <reference field="8" count="1" selected="0">
            <x v="0"/>
          </reference>
        </references>
      </pivotArea>
    </chartFormat>
    <chartFormat chart="32" format="24">
      <pivotArea type="data" outline="0" fieldPosition="0">
        <references count="3">
          <reference field="4294967294" count="1" selected="0">
            <x v="0"/>
          </reference>
          <reference field="5" count="1" selected="0">
            <x v="3"/>
          </reference>
          <reference field="8" count="1" selected="0">
            <x v="0"/>
          </reference>
        </references>
      </pivotArea>
    </chartFormat>
    <chartFormat chart="32" format="25" series="1">
      <pivotArea type="data" outline="0" fieldPosition="0">
        <references count="2">
          <reference field="4294967294" count="1" selected="0">
            <x v="0"/>
          </reference>
          <reference field="8" count="1" selected="0">
            <x v="1"/>
          </reference>
        </references>
      </pivotArea>
    </chartFormat>
    <chartFormat chart="32" format="26">
      <pivotArea type="data" outline="0" fieldPosition="0">
        <references count="3">
          <reference field="4294967294" count="1" selected="0">
            <x v="0"/>
          </reference>
          <reference field="5" count="1" selected="0">
            <x v="0"/>
          </reference>
          <reference field="8" count="1" selected="0">
            <x v="1"/>
          </reference>
        </references>
      </pivotArea>
    </chartFormat>
    <chartFormat chart="32" format="27">
      <pivotArea type="data" outline="0" fieldPosition="0">
        <references count="3">
          <reference field="4294967294" count="1" selected="0">
            <x v="0"/>
          </reference>
          <reference field="5" count="1" selected="0">
            <x v="1"/>
          </reference>
          <reference field="8" count="1" selected="0">
            <x v="1"/>
          </reference>
        </references>
      </pivotArea>
    </chartFormat>
    <chartFormat chart="32" format="28">
      <pivotArea type="data" outline="0" fieldPosition="0">
        <references count="3">
          <reference field="4294967294" count="1" selected="0">
            <x v="0"/>
          </reference>
          <reference field="5" count="1" selected="0">
            <x v="2"/>
          </reference>
          <reference field="8" count="1" selected="0">
            <x v="1"/>
          </reference>
        </references>
      </pivotArea>
    </chartFormat>
    <chartFormat chart="32" format="29">
      <pivotArea type="data" outline="0" fieldPosition="0">
        <references count="3">
          <reference field="4294967294" count="1" selected="0">
            <x v="0"/>
          </reference>
          <reference field="5" count="1" selected="0">
            <x v="3"/>
          </reference>
          <reference field="8" count="1" selected="0">
            <x v="1"/>
          </reference>
        </references>
      </pivotArea>
    </chartFormat>
    <chartFormat chart="33" format="20" series="1">
      <pivotArea type="data" outline="0" fieldPosition="0">
        <references count="2">
          <reference field="4294967294" count="1" selected="0">
            <x v="0"/>
          </reference>
          <reference field="8" count="1" selected="0">
            <x v="0"/>
          </reference>
        </references>
      </pivotArea>
    </chartFormat>
    <chartFormat chart="33" format="21">
      <pivotArea type="data" outline="0" fieldPosition="0">
        <references count="3">
          <reference field="4294967294" count="1" selected="0">
            <x v="0"/>
          </reference>
          <reference field="5" count="1" selected="0">
            <x v="0"/>
          </reference>
          <reference field="8" count="1" selected="0">
            <x v="0"/>
          </reference>
        </references>
      </pivotArea>
    </chartFormat>
    <chartFormat chart="33" format="22">
      <pivotArea type="data" outline="0" fieldPosition="0">
        <references count="3">
          <reference field="4294967294" count="1" selected="0">
            <x v="0"/>
          </reference>
          <reference field="5" count="1" selected="0">
            <x v="1"/>
          </reference>
          <reference field="8" count="1" selected="0">
            <x v="0"/>
          </reference>
        </references>
      </pivotArea>
    </chartFormat>
    <chartFormat chart="33" format="23">
      <pivotArea type="data" outline="0" fieldPosition="0">
        <references count="3">
          <reference field="4294967294" count="1" selected="0">
            <x v="0"/>
          </reference>
          <reference field="5" count="1" selected="0">
            <x v="2"/>
          </reference>
          <reference field="8" count="1" selected="0">
            <x v="0"/>
          </reference>
        </references>
      </pivotArea>
    </chartFormat>
    <chartFormat chart="33" format="24">
      <pivotArea type="data" outline="0" fieldPosition="0">
        <references count="3">
          <reference field="4294967294" count="1" selected="0">
            <x v="0"/>
          </reference>
          <reference field="5" count="1" selected="0">
            <x v="3"/>
          </reference>
          <reference field="8" count="1" selected="0">
            <x v="0"/>
          </reference>
        </references>
      </pivotArea>
    </chartFormat>
    <chartFormat chart="33" format="25" series="1">
      <pivotArea type="data" outline="0" fieldPosition="0">
        <references count="2">
          <reference field="4294967294" count="1" selected="0">
            <x v="0"/>
          </reference>
          <reference field="8" count="1" selected="0">
            <x v="1"/>
          </reference>
        </references>
      </pivotArea>
    </chartFormat>
    <chartFormat chart="33" format="26">
      <pivotArea type="data" outline="0" fieldPosition="0">
        <references count="3">
          <reference field="4294967294" count="1" selected="0">
            <x v="0"/>
          </reference>
          <reference field="5" count="1" selected="0">
            <x v="0"/>
          </reference>
          <reference field="8" count="1" selected="0">
            <x v="1"/>
          </reference>
        </references>
      </pivotArea>
    </chartFormat>
    <chartFormat chart="33" format="27">
      <pivotArea type="data" outline="0" fieldPosition="0">
        <references count="3">
          <reference field="4294967294" count="1" selected="0">
            <x v="0"/>
          </reference>
          <reference field="5" count="1" selected="0">
            <x v="1"/>
          </reference>
          <reference field="8" count="1" selected="0">
            <x v="1"/>
          </reference>
        </references>
      </pivotArea>
    </chartFormat>
    <chartFormat chart="33" format="28">
      <pivotArea type="data" outline="0" fieldPosition="0">
        <references count="3">
          <reference field="4294967294" count="1" selected="0">
            <x v="0"/>
          </reference>
          <reference field="5" count="1" selected="0">
            <x v="2"/>
          </reference>
          <reference field="8" count="1" selected="0">
            <x v="1"/>
          </reference>
        </references>
      </pivotArea>
    </chartFormat>
    <chartFormat chart="33" format="29">
      <pivotArea type="data" outline="0" fieldPosition="0">
        <references count="3">
          <reference field="4294967294" count="1" selected="0">
            <x v="0"/>
          </reference>
          <reference field="5" count="1" selected="0">
            <x v="3"/>
          </reference>
          <reference field="8" count="1" selected="0">
            <x v="1"/>
          </reference>
        </references>
      </pivotArea>
    </chartFormat>
    <chartFormat chart="33" format="30" series="1">
      <pivotArea type="data" outline="0" fieldPosition="0">
        <references count="1">
          <reference field="4294967294" count="1" selected="0">
            <x v="0"/>
          </reference>
        </references>
      </pivotArea>
    </chartFormat>
    <chartFormat chart="32" format="30" series="1">
      <pivotArea type="data" outline="0" fieldPosition="0">
        <references count="1">
          <reference field="4294967294" count="1" selected="0">
            <x v="0"/>
          </reference>
        </references>
      </pivotArea>
    </chartFormat>
    <chartFormat chart="31" format="20" series="1">
      <pivotArea type="data" outline="0" fieldPosition="0">
        <references count="1">
          <reference field="4294967294" count="1" selected="0">
            <x v="0"/>
          </reference>
        </references>
      </pivotArea>
    </chartFormat>
    <chartFormat chart="20" format="10" series="1">
      <pivotArea type="data" outline="0" fieldPosition="0">
        <references count="1">
          <reference field="4294967294" count="1" selected="0">
            <x v="0"/>
          </reference>
        </references>
      </pivotArea>
    </chartFormat>
    <chartFormat chart="13" format="3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6" name="Date_F">
      <autoFilter ref="A1">
        <filterColumn colId="0">
          <customFilters and="1">
            <customFilter operator="greaterThanOrEqual" val="45566"/>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B72E5-CC18-4ACB-BB0A-09B8145918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K46" firstHeaderRow="1" firstDataRow="1" firstDataCol="0"/>
  <pivotFields count="15">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27ACBD6-3A10-46C8-8119-3E99F872F08A}" sourceName="City">
  <pivotTables>
    <pivotTable tabId="2" name="PivotTable1"/>
    <pivotTable tabId="2" name="PivotTable2"/>
  </pivotTables>
  <data>
    <tabular pivotCacheId="1810098368">
      <items count="4">
        <i x="1"/>
        <i x="2"/>
        <i x="3" s="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3351AC6-A757-4459-B948-F89C5649FF01}" cache="Slicer_City" caption="City"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9BE27D-4864-4CF9-8A33-5FEAF6A7EC1F}" name="Table1" displayName="Table1" ref="A1:O101" totalsRowShown="0">
  <autoFilter ref="A1:O101" xr:uid="{4B9BE27D-4864-4CF9-8A33-5FEAF6A7EC1F}"/>
  <tableColumns count="15">
    <tableColumn id="1" xr3:uid="{24200BC2-79DF-414B-85D0-3A9CC52C150D}" name="Order_ID"/>
    <tableColumn id="2" xr3:uid="{3A3AC5DE-BC83-4511-9662-AF51B1124C15}" name="Date" dataDxfId="1"/>
    <tableColumn id="15" xr3:uid="{25C0E387-0FAC-4391-9AE1-6F6024842A9E}" name="Date_F" dataDxfId="0">
      <calculatedColumnFormula>DATEVALUE(B2)</calculatedColumnFormula>
    </tableColumn>
    <tableColumn id="3" xr3:uid="{4549CD03-9CB3-4457-9DB9-B5F1C01A7020}" name="Year"/>
    <tableColumn id="4" xr3:uid="{08DABD43-2C91-4D81-A3D8-59E716F55DD5}" name="Month"/>
    <tableColumn id="5" xr3:uid="{CEDF311E-1962-43D5-8892-D3B4E99E647E}" name="Region"/>
    <tableColumn id="6" xr3:uid="{32829946-D197-4F91-B999-A5926947558E}" name="City"/>
    <tableColumn id="7" xr3:uid="{DC85A5FC-AB64-4FF0-97EC-CEF5A0666860}" name="Product"/>
    <tableColumn id="8" xr3:uid="{B5456B0A-3F7D-4E15-876D-538944FFFE9D}" name="Category"/>
    <tableColumn id="9" xr3:uid="{E957C84E-3015-4678-8CDD-5A35FD975A50}" name="Salesperson"/>
    <tableColumn id="10" xr3:uid="{749B15F6-E729-4A42-AEAA-899F76059BBB}" name="Quantity"/>
    <tableColumn id="11" xr3:uid="{996026FD-A256-43EB-9A9F-E8DB6D304501}" name="Unit_Price"/>
    <tableColumn id="12" xr3:uid="{2D54310E-3D08-443A-821C-AFD3A39F6A4E}" name="Discount_%"/>
    <tableColumn id="13" xr3:uid="{7FA52C45-56C5-4162-A036-0C4AA9FB3632}" name="Sales_Amount"/>
    <tableColumn id="14" xr3:uid="{5950497B-56ED-4334-8472-344C59A27154}" name="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F" xr10:uid="{AE352C62-14BE-48C8-896D-112D841B4C4F}" sourceName="Date_F">
  <pivotTables>
    <pivotTable tabId="2" name="PivotTable1"/>
    <pivotTable tabId="2" name="PivotTable2"/>
  </pivotTables>
  <state minimalRefreshVersion="6" lastRefreshVersion="6" pivotCacheId="1810098368" filterType="dateBetween">
    <selection startDate="2024-10-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F" xr10:uid="{0E31B27F-1AAD-4E5A-A0C5-557FBC19A406}" cache="NativeTimeline_Date_F" caption="Date_F" level="1" selectionLevel="1"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zoomScale="87" workbookViewId="0">
      <selection activeCell="R12" sqref="R12"/>
    </sheetView>
  </sheetViews>
  <sheetFormatPr defaultRowHeight="14.4" x14ac:dyDescent="0.3"/>
  <cols>
    <col min="1" max="1" width="10.44140625" customWidth="1"/>
    <col min="2" max="2" width="11.88671875" style="1" bestFit="1" customWidth="1"/>
    <col min="3" max="3" width="11.88671875" style="1" customWidth="1"/>
    <col min="8" max="8" width="9.5546875" customWidth="1"/>
    <col min="9" max="9" width="10.44140625" customWidth="1"/>
    <col min="10" max="10" width="12.88671875" customWidth="1"/>
    <col min="11" max="11" width="10.21875" customWidth="1"/>
    <col min="12" max="12" width="11.5546875" customWidth="1"/>
    <col min="13" max="13" width="12.6640625" customWidth="1"/>
    <col min="14" max="14" width="15" customWidth="1"/>
  </cols>
  <sheetData>
    <row r="1" spans="1:15" x14ac:dyDescent="0.3">
      <c r="A1" t="s">
        <v>0</v>
      </c>
      <c r="B1" s="1" t="s">
        <v>1</v>
      </c>
      <c r="C1" s="1" t="s">
        <v>132</v>
      </c>
      <c r="D1" t="s">
        <v>2</v>
      </c>
      <c r="E1" t="s">
        <v>3</v>
      </c>
      <c r="F1" t="s">
        <v>4</v>
      </c>
      <c r="G1" t="s">
        <v>5</v>
      </c>
      <c r="H1" t="s">
        <v>6</v>
      </c>
      <c r="I1" t="s">
        <v>7</v>
      </c>
      <c r="J1" t="s">
        <v>8</v>
      </c>
      <c r="K1" t="s">
        <v>9</v>
      </c>
      <c r="L1" t="s">
        <v>10</v>
      </c>
      <c r="M1" t="s">
        <v>11</v>
      </c>
      <c r="N1" t="s">
        <v>12</v>
      </c>
      <c r="O1" t="s">
        <v>13</v>
      </c>
    </row>
    <row r="2" spans="1:15" x14ac:dyDescent="0.3">
      <c r="A2">
        <v>1</v>
      </c>
      <c r="B2" s="1" t="s">
        <v>14</v>
      </c>
      <c r="C2" s="1">
        <f t="shared" ref="C2:C33" si="0">DATEVALUE(B2)</f>
        <v>45292</v>
      </c>
      <c r="D2">
        <v>2024</v>
      </c>
      <c r="E2" t="s">
        <v>15</v>
      </c>
      <c r="F2" t="s">
        <v>16</v>
      </c>
      <c r="G2" t="s">
        <v>17</v>
      </c>
      <c r="H2" t="s">
        <v>18</v>
      </c>
      <c r="I2" t="s">
        <v>19</v>
      </c>
      <c r="J2" t="s">
        <v>20</v>
      </c>
      <c r="K2">
        <v>1</v>
      </c>
      <c r="L2">
        <v>50000</v>
      </c>
      <c r="M2">
        <v>3</v>
      </c>
      <c r="N2">
        <v>48500</v>
      </c>
      <c r="O2">
        <v>7275</v>
      </c>
    </row>
    <row r="3" spans="1:15" x14ac:dyDescent="0.3">
      <c r="A3">
        <v>2</v>
      </c>
      <c r="B3" s="1" t="s">
        <v>21</v>
      </c>
      <c r="C3" s="1">
        <f t="shared" si="0"/>
        <v>45324</v>
      </c>
      <c r="D3">
        <v>2024</v>
      </c>
      <c r="E3" t="s">
        <v>22</v>
      </c>
      <c r="F3" t="s">
        <v>23</v>
      </c>
      <c r="G3" t="s">
        <v>24</v>
      </c>
      <c r="H3" t="s">
        <v>25</v>
      </c>
      <c r="I3" t="s">
        <v>19</v>
      </c>
      <c r="J3" t="s">
        <v>26</v>
      </c>
      <c r="K3">
        <v>2</v>
      </c>
      <c r="L3">
        <v>20000</v>
      </c>
      <c r="M3">
        <v>4</v>
      </c>
      <c r="N3">
        <v>38400</v>
      </c>
      <c r="O3">
        <v>5760</v>
      </c>
    </row>
    <row r="4" spans="1:15" x14ac:dyDescent="0.3">
      <c r="A4">
        <v>3</v>
      </c>
      <c r="B4" s="1" t="s">
        <v>27</v>
      </c>
      <c r="C4" s="1">
        <f t="shared" si="0"/>
        <v>45354</v>
      </c>
      <c r="D4">
        <v>2024</v>
      </c>
      <c r="E4" t="s">
        <v>28</v>
      </c>
      <c r="F4" t="s">
        <v>29</v>
      </c>
      <c r="G4" t="s">
        <v>30</v>
      </c>
      <c r="H4" t="s">
        <v>31</v>
      </c>
      <c r="I4" t="s">
        <v>19</v>
      </c>
      <c r="J4" t="s">
        <v>32</v>
      </c>
      <c r="K4">
        <v>3</v>
      </c>
      <c r="L4">
        <v>30000</v>
      </c>
      <c r="M4">
        <v>5</v>
      </c>
      <c r="N4">
        <v>85500</v>
      </c>
      <c r="O4">
        <v>12825</v>
      </c>
    </row>
    <row r="5" spans="1:15" x14ac:dyDescent="0.3">
      <c r="A5">
        <v>4</v>
      </c>
      <c r="B5" s="1" t="s">
        <v>33</v>
      </c>
      <c r="C5" s="1">
        <f t="shared" si="0"/>
        <v>45386</v>
      </c>
      <c r="D5">
        <v>2024</v>
      </c>
      <c r="E5" t="s">
        <v>34</v>
      </c>
      <c r="F5" t="s">
        <v>35</v>
      </c>
      <c r="G5" t="s">
        <v>36</v>
      </c>
      <c r="H5" t="s">
        <v>37</v>
      </c>
      <c r="I5" t="s">
        <v>19</v>
      </c>
      <c r="J5" t="s">
        <v>38</v>
      </c>
      <c r="K5">
        <v>4</v>
      </c>
      <c r="L5">
        <v>15000</v>
      </c>
      <c r="M5">
        <v>6</v>
      </c>
      <c r="N5">
        <v>56400</v>
      </c>
      <c r="O5">
        <v>8460</v>
      </c>
    </row>
    <row r="6" spans="1:15" x14ac:dyDescent="0.3">
      <c r="A6">
        <v>5</v>
      </c>
      <c r="B6" s="1" t="s">
        <v>39</v>
      </c>
      <c r="C6" s="1">
        <f t="shared" si="0"/>
        <v>45417</v>
      </c>
      <c r="D6">
        <v>2024</v>
      </c>
      <c r="E6" t="s">
        <v>40</v>
      </c>
      <c r="F6" t="s">
        <v>16</v>
      </c>
      <c r="G6" t="s">
        <v>17</v>
      </c>
      <c r="H6" t="s">
        <v>41</v>
      </c>
      <c r="I6" t="s">
        <v>42</v>
      </c>
      <c r="J6" t="s">
        <v>43</v>
      </c>
      <c r="K6">
        <v>5</v>
      </c>
      <c r="L6">
        <v>3000</v>
      </c>
      <c r="M6">
        <v>7</v>
      </c>
      <c r="N6">
        <v>13950</v>
      </c>
      <c r="O6">
        <v>2092.5</v>
      </c>
    </row>
    <row r="7" spans="1:15" x14ac:dyDescent="0.3">
      <c r="A7">
        <v>6</v>
      </c>
      <c r="B7" s="1" t="s">
        <v>44</v>
      </c>
      <c r="C7" s="1">
        <f t="shared" si="0"/>
        <v>45449</v>
      </c>
      <c r="D7">
        <v>2024</v>
      </c>
      <c r="E7" t="s">
        <v>45</v>
      </c>
      <c r="F7" t="s">
        <v>23</v>
      </c>
      <c r="G7" t="s">
        <v>24</v>
      </c>
      <c r="H7" t="s">
        <v>46</v>
      </c>
      <c r="I7" t="s">
        <v>42</v>
      </c>
      <c r="J7" t="s">
        <v>20</v>
      </c>
      <c r="K7">
        <v>6</v>
      </c>
      <c r="L7">
        <v>8000</v>
      </c>
      <c r="M7">
        <v>8</v>
      </c>
      <c r="N7">
        <v>44160</v>
      </c>
      <c r="O7">
        <v>6624</v>
      </c>
    </row>
    <row r="8" spans="1:15" x14ac:dyDescent="0.3">
      <c r="A8">
        <v>7</v>
      </c>
      <c r="B8" s="1" t="s">
        <v>47</v>
      </c>
      <c r="C8" s="1">
        <f t="shared" si="0"/>
        <v>45480</v>
      </c>
      <c r="D8">
        <v>2024</v>
      </c>
      <c r="E8" t="s">
        <v>48</v>
      </c>
      <c r="F8" t="s">
        <v>29</v>
      </c>
      <c r="G8" t="s">
        <v>30</v>
      </c>
      <c r="H8" t="s">
        <v>49</v>
      </c>
      <c r="I8" t="s">
        <v>42</v>
      </c>
      <c r="J8" t="s">
        <v>26</v>
      </c>
      <c r="K8">
        <v>7</v>
      </c>
      <c r="L8">
        <v>25000</v>
      </c>
      <c r="M8">
        <v>9</v>
      </c>
      <c r="N8">
        <v>159250</v>
      </c>
      <c r="O8">
        <v>23887.5</v>
      </c>
    </row>
    <row r="9" spans="1:15" x14ac:dyDescent="0.3">
      <c r="A9">
        <v>8</v>
      </c>
      <c r="B9" s="1" t="s">
        <v>50</v>
      </c>
      <c r="C9" s="1">
        <f t="shared" si="0"/>
        <v>45512</v>
      </c>
      <c r="D9">
        <v>2024</v>
      </c>
      <c r="E9" t="s">
        <v>51</v>
      </c>
      <c r="F9" t="s">
        <v>35</v>
      </c>
      <c r="G9" t="s">
        <v>36</v>
      </c>
      <c r="H9" t="s">
        <v>18</v>
      </c>
      <c r="I9" t="s">
        <v>19</v>
      </c>
      <c r="J9" t="s">
        <v>32</v>
      </c>
      <c r="K9">
        <v>8</v>
      </c>
      <c r="L9">
        <v>50000</v>
      </c>
      <c r="M9">
        <v>10</v>
      </c>
      <c r="N9">
        <v>360000</v>
      </c>
      <c r="O9">
        <v>54000</v>
      </c>
    </row>
    <row r="10" spans="1:15" x14ac:dyDescent="0.3">
      <c r="A10">
        <v>9</v>
      </c>
      <c r="B10" s="1" t="s">
        <v>52</v>
      </c>
      <c r="C10" s="1">
        <f t="shared" si="0"/>
        <v>45544</v>
      </c>
      <c r="D10">
        <v>2024</v>
      </c>
      <c r="E10" t="s">
        <v>53</v>
      </c>
      <c r="F10" t="s">
        <v>16</v>
      </c>
      <c r="G10" t="s">
        <v>17</v>
      </c>
      <c r="H10" t="s">
        <v>25</v>
      </c>
      <c r="I10" t="s">
        <v>19</v>
      </c>
      <c r="J10" t="s">
        <v>38</v>
      </c>
      <c r="K10">
        <v>9</v>
      </c>
      <c r="L10">
        <v>20000</v>
      </c>
      <c r="M10">
        <v>11</v>
      </c>
      <c r="N10">
        <v>160200</v>
      </c>
      <c r="O10">
        <v>24030</v>
      </c>
    </row>
    <row r="11" spans="1:15" x14ac:dyDescent="0.3">
      <c r="A11">
        <v>10</v>
      </c>
      <c r="B11" s="1" t="s">
        <v>54</v>
      </c>
      <c r="C11" s="1">
        <f t="shared" si="0"/>
        <v>45575</v>
      </c>
      <c r="D11">
        <v>2024</v>
      </c>
      <c r="E11" t="s">
        <v>55</v>
      </c>
      <c r="F11" t="s">
        <v>23</v>
      </c>
      <c r="G11" t="s">
        <v>24</v>
      </c>
      <c r="H11" t="s">
        <v>31</v>
      </c>
      <c r="I11" t="s">
        <v>19</v>
      </c>
      <c r="J11" t="s">
        <v>43</v>
      </c>
      <c r="K11">
        <v>10</v>
      </c>
      <c r="L11">
        <v>30000</v>
      </c>
      <c r="M11">
        <v>12</v>
      </c>
      <c r="N11">
        <v>264000</v>
      </c>
      <c r="O11">
        <v>39600</v>
      </c>
    </row>
    <row r="12" spans="1:15" x14ac:dyDescent="0.3">
      <c r="A12">
        <v>11</v>
      </c>
      <c r="B12" s="1" t="s">
        <v>56</v>
      </c>
      <c r="C12" s="1">
        <f t="shared" si="0"/>
        <v>45607</v>
      </c>
      <c r="D12">
        <v>2024</v>
      </c>
      <c r="E12" t="s">
        <v>57</v>
      </c>
      <c r="F12" t="s">
        <v>29</v>
      </c>
      <c r="G12" t="s">
        <v>30</v>
      </c>
      <c r="H12" t="s">
        <v>37</v>
      </c>
      <c r="I12" t="s">
        <v>19</v>
      </c>
      <c r="J12" t="s">
        <v>20</v>
      </c>
      <c r="K12">
        <v>1</v>
      </c>
      <c r="L12">
        <v>15000</v>
      </c>
      <c r="M12">
        <v>13</v>
      </c>
      <c r="N12">
        <v>13050</v>
      </c>
      <c r="O12">
        <v>1957.5</v>
      </c>
    </row>
    <row r="13" spans="1:15" x14ac:dyDescent="0.3">
      <c r="A13">
        <v>12</v>
      </c>
      <c r="B13" s="1" t="s">
        <v>58</v>
      </c>
      <c r="C13" s="1">
        <f t="shared" si="0"/>
        <v>45638</v>
      </c>
      <c r="D13">
        <v>2024</v>
      </c>
      <c r="E13" t="s">
        <v>59</v>
      </c>
      <c r="F13" t="s">
        <v>35</v>
      </c>
      <c r="G13" t="s">
        <v>36</v>
      </c>
      <c r="H13" t="s">
        <v>41</v>
      </c>
      <c r="I13" t="s">
        <v>42</v>
      </c>
      <c r="J13" t="s">
        <v>26</v>
      </c>
      <c r="K13">
        <v>2</v>
      </c>
      <c r="L13">
        <v>3000</v>
      </c>
      <c r="M13">
        <v>14</v>
      </c>
      <c r="N13">
        <v>5160</v>
      </c>
      <c r="O13">
        <v>774</v>
      </c>
    </row>
    <row r="14" spans="1:15" x14ac:dyDescent="0.3">
      <c r="A14">
        <v>13</v>
      </c>
      <c r="B14" s="1" t="s">
        <v>60</v>
      </c>
      <c r="C14" s="1">
        <f t="shared" si="0"/>
        <v>45304</v>
      </c>
      <c r="D14">
        <v>2024</v>
      </c>
      <c r="E14" t="s">
        <v>15</v>
      </c>
      <c r="F14" t="s">
        <v>16</v>
      </c>
      <c r="G14" t="s">
        <v>17</v>
      </c>
      <c r="H14" t="s">
        <v>46</v>
      </c>
      <c r="I14" t="s">
        <v>42</v>
      </c>
      <c r="J14" t="s">
        <v>32</v>
      </c>
      <c r="K14">
        <v>3</v>
      </c>
      <c r="L14">
        <v>8000</v>
      </c>
      <c r="M14">
        <v>3</v>
      </c>
      <c r="N14">
        <v>23280</v>
      </c>
      <c r="O14">
        <v>3492</v>
      </c>
    </row>
    <row r="15" spans="1:15" x14ac:dyDescent="0.3">
      <c r="A15">
        <v>14</v>
      </c>
      <c r="B15" s="1" t="s">
        <v>61</v>
      </c>
      <c r="C15" s="1">
        <f t="shared" si="0"/>
        <v>45336</v>
      </c>
      <c r="D15">
        <v>2024</v>
      </c>
      <c r="E15" t="s">
        <v>22</v>
      </c>
      <c r="F15" t="s">
        <v>23</v>
      </c>
      <c r="G15" t="s">
        <v>24</v>
      </c>
      <c r="H15" t="s">
        <v>49</v>
      </c>
      <c r="I15" t="s">
        <v>42</v>
      </c>
      <c r="J15" t="s">
        <v>38</v>
      </c>
      <c r="K15">
        <v>4</v>
      </c>
      <c r="L15">
        <v>25000</v>
      </c>
      <c r="M15">
        <v>4</v>
      </c>
      <c r="N15">
        <v>96000</v>
      </c>
      <c r="O15">
        <v>14400</v>
      </c>
    </row>
    <row r="16" spans="1:15" x14ac:dyDescent="0.3">
      <c r="A16">
        <v>15</v>
      </c>
      <c r="B16" s="1" t="s">
        <v>62</v>
      </c>
      <c r="C16" s="1">
        <f t="shared" si="0"/>
        <v>45366</v>
      </c>
      <c r="D16">
        <v>2024</v>
      </c>
      <c r="E16" t="s">
        <v>28</v>
      </c>
      <c r="F16" t="s">
        <v>29</v>
      </c>
      <c r="G16" t="s">
        <v>30</v>
      </c>
      <c r="H16" t="s">
        <v>18</v>
      </c>
      <c r="I16" t="s">
        <v>19</v>
      </c>
      <c r="J16" t="s">
        <v>43</v>
      </c>
      <c r="K16">
        <v>5</v>
      </c>
      <c r="L16">
        <v>50000</v>
      </c>
      <c r="M16">
        <v>5</v>
      </c>
      <c r="N16">
        <v>237500</v>
      </c>
      <c r="O16">
        <v>35625</v>
      </c>
    </row>
    <row r="17" spans="1:15" x14ac:dyDescent="0.3">
      <c r="A17">
        <v>16</v>
      </c>
      <c r="B17" s="1" t="s">
        <v>63</v>
      </c>
      <c r="C17" s="1">
        <f t="shared" si="0"/>
        <v>45398</v>
      </c>
      <c r="D17">
        <v>2024</v>
      </c>
      <c r="E17" t="s">
        <v>34</v>
      </c>
      <c r="F17" t="s">
        <v>35</v>
      </c>
      <c r="G17" t="s">
        <v>36</v>
      </c>
      <c r="H17" t="s">
        <v>25</v>
      </c>
      <c r="I17" t="s">
        <v>19</v>
      </c>
      <c r="J17" t="s">
        <v>20</v>
      </c>
      <c r="K17">
        <v>6</v>
      </c>
      <c r="L17">
        <v>20000</v>
      </c>
      <c r="M17">
        <v>6</v>
      </c>
      <c r="N17">
        <v>112800</v>
      </c>
      <c r="O17">
        <v>16920</v>
      </c>
    </row>
    <row r="18" spans="1:15" x14ac:dyDescent="0.3">
      <c r="A18">
        <v>17</v>
      </c>
      <c r="B18" s="1" t="s">
        <v>64</v>
      </c>
      <c r="C18" s="1">
        <f t="shared" si="0"/>
        <v>45429</v>
      </c>
      <c r="D18">
        <v>2024</v>
      </c>
      <c r="E18" t="s">
        <v>40</v>
      </c>
      <c r="F18" t="s">
        <v>16</v>
      </c>
      <c r="G18" t="s">
        <v>17</v>
      </c>
      <c r="H18" t="s">
        <v>31</v>
      </c>
      <c r="I18" t="s">
        <v>19</v>
      </c>
      <c r="J18" t="s">
        <v>26</v>
      </c>
      <c r="K18">
        <v>7</v>
      </c>
      <c r="L18">
        <v>30000</v>
      </c>
      <c r="M18">
        <v>7</v>
      </c>
      <c r="N18">
        <v>195300</v>
      </c>
      <c r="O18">
        <v>29295</v>
      </c>
    </row>
    <row r="19" spans="1:15" x14ac:dyDescent="0.3">
      <c r="A19">
        <v>18</v>
      </c>
      <c r="B19" s="1" t="s">
        <v>65</v>
      </c>
      <c r="C19" s="1">
        <f t="shared" si="0"/>
        <v>45461</v>
      </c>
      <c r="D19">
        <v>2024</v>
      </c>
      <c r="E19" t="s">
        <v>45</v>
      </c>
      <c r="F19" t="s">
        <v>23</v>
      </c>
      <c r="G19" t="s">
        <v>24</v>
      </c>
      <c r="H19" t="s">
        <v>37</v>
      </c>
      <c r="I19" t="s">
        <v>19</v>
      </c>
      <c r="J19" t="s">
        <v>32</v>
      </c>
      <c r="K19">
        <v>8</v>
      </c>
      <c r="L19">
        <v>15000</v>
      </c>
      <c r="M19">
        <v>8</v>
      </c>
      <c r="N19">
        <v>110400</v>
      </c>
      <c r="O19">
        <v>16560</v>
      </c>
    </row>
    <row r="20" spans="1:15" x14ac:dyDescent="0.3">
      <c r="A20">
        <v>19</v>
      </c>
      <c r="B20" s="1" t="s">
        <v>66</v>
      </c>
      <c r="C20" s="1">
        <f t="shared" si="0"/>
        <v>45492</v>
      </c>
      <c r="D20">
        <v>2024</v>
      </c>
      <c r="E20" t="s">
        <v>48</v>
      </c>
      <c r="F20" t="s">
        <v>29</v>
      </c>
      <c r="G20" t="s">
        <v>30</v>
      </c>
      <c r="H20" t="s">
        <v>41</v>
      </c>
      <c r="I20" t="s">
        <v>42</v>
      </c>
      <c r="J20" t="s">
        <v>38</v>
      </c>
      <c r="K20">
        <v>9</v>
      </c>
      <c r="L20">
        <v>3000</v>
      </c>
      <c r="M20">
        <v>9</v>
      </c>
      <c r="N20">
        <v>24570</v>
      </c>
      <c r="O20">
        <v>3685.5</v>
      </c>
    </row>
    <row r="21" spans="1:15" x14ac:dyDescent="0.3">
      <c r="A21">
        <v>20</v>
      </c>
      <c r="B21" s="1" t="s">
        <v>67</v>
      </c>
      <c r="C21" s="1">
        <f t="shared" si="0"/>
        <v>45524</v>
      </c>
      <c r="D21">
        <v>2024</v>
      </c>
      <c r="E21" t="s">
        <v>51</v>
      </c>
      <c r="F21" t="s">
        <v>35</v>
      </c>
      <c r="G21" t="s">
        <v>36</v>
      </c>
      <c r="H21" t="s">
        <v>46</v>
      </c>
      <c r="I21" t="s">
        <v>42</v>
      </c>
      <c r="J21" t="s">
        <v>43</v>
      </c>
      <c r="K21">
        <v>10</v>
      </c>
      <c r="L21">
        <v>8000</v>
      </c>
      <c r="M21">
        <v>10</v>
      </c>
      <c r="N21">
        <v>72000</v>
      </c>
      <c r="O21">
        <v>10800</v>
      </c>
    </row>
    <row r="22" spans="1:15" x14ac:dyDescent="0.3">
      <c r="A22">
        <v>21</v>
      </c>
      <c r="B22" s="1" t="s">
        <v>68</v>
      </c>
      <c r="C22" s="1">
        <f t="shared" si="0"/>
        <v>45556</v>
      </c>
      <c r="D22">
        <v>2024</v>
      </c>
      <c r="E22" t="s">
        <v>53</v>
      </c>
      <c r="F22" t="s">
        <v>16</v>
      </c>
      <c r="G22" t="s">
        <v>17</v>
      </c>
      <c r="H22" t="s">
        <v>49</v>
      </c>
      <c r="I22" t="s">
        <v>42</v>
      </c>
      <c r="J22" t="s">
        <v>20</v>
      </c>
      <c r="K22">
        <v>1</v>
      </c>
      <c r="L22">
        <v>25000</v>
      </c>
      <c r="M22">
        <v>11</v>
      </c>
      <c r="N22">
        <v>22250</v>
      </c>
      <c r="O22">
        <v>3337.5</v>
      </c>
    </row>
    <row r="23" spans="1:15" x14ac:dyDescent="0.3">
      <c r="A23">
        <v>22</v>
      </c>
      <c r="B23" s="1" t="s">
        <v>69</v>
      </c>
      <c r="C23" s="1">
        <f t="shared" si="0"/>
        <v>45587</v>
      </c>
      <c r="D23">
        <v>2024</v>
      </c>
      <c r="E23" t="s">
        <v>55</v>
      </c>
      <c r="F23" t="s">
        <v>23</v>
      </c>
      <c r="G23" t="s">
        <v>24</v>
      </c>
      <c r="H23" t="s">
        <v>18</v>
      </c>
      <c r="I23" t="s">
        <v>19</v>
      </c>
      <c r="J23" t="s">
        <v>26</v>
      </c>
      <c r="K23">
        <v>2</v>
      </c>
      <c r="L23">
        <v>50000</v>
      </c>
      <c r="M23">
        <v>12</v>
      </c>
      <c r="N23">
        <v>88000</v>
      </c>
      <c r="O23">
        <v>13200</v>
      </c>
    </row>
    <row r="24" spans="1:15" x14ac:dyDescent="0.3">
      <c r="A24">
        <v>23</v>
      </c>
      <c r="B24" s="1" t="s">
        <v>70</v>
      </c>
      <c r="C24" s="1">
        <f t="shared" si="0"/>
        <v>45619</v>
      </c>
      <c r="D24">
        <v>2024</v>
      </c>
      <c r="E24" t="s">
        <v>57</v>
      </c>
      <c r="F24" t="s">
        <v>29</v>
      </c>
      <c r="G24" t="s">
        <v>30</v>
      </c>
      <c r="H24" t="s">
        <v>25</v>
      </c>
      <c r="I24" t="s">
        <v>19</v>
      </c>
      <c r="J24" t="s">
        <v>32</v>
      </c>
      <c r="K24">
        <v>3</v>
      </c>
      <c r="L24">
        <v>20000</v>
      </c>
      <c r="M24">
        <v>13</v>
      </c>
      <c r="N24">
        <v>52200</v>
      </c>
      <c r="O24">
        <v>7830</v>
      </c>
    </row>
    <row r="25" spans="1:15" x14ac:dyDescent="0.3">
      <c r="A25">
        <v>24</v>
      </c>
      <c r="B25" s="1" t="s">
        <v>71</v>
      </c>
      <c r="C25" s="1">
        <f t="shared" si="0"/>
        <v>45650</v>
      </c>
      <c r="D25">
        <v>2024</v>
      </c>
      <c r="E25" t="s">
        <v>59</v>
      </c>
      <c r="F25" t="s">
        <v>35</v>
      </c>
      <c r="G25" t="s">
        <v>36</v>
      </c>
      <c r="H25" t="s">
        <v>31</v>
      </c>
      <c r="I25" t="s">
        <v>19</v>
      </c>
      <c r="J25" t="s">
        <v>38</v>
      </c>
      <c r="K25">
        <v>4</v>
      </c>
      <c r="L25">
        <v>30000</v>
      </c>
      <c r="M25">
        <v>14</v>
      </c>
      <c r="N25">
        <v>103200</v>
      </c>
      <c r="O25">
        <v>15480</v>
      </c>
    </row>
    <row r="26" spans="1:15" x14ac:dyDescent="0.3">
      <c r="A26">
        <v>25</v>
      </c>
      <c r="B26" s="1" t="s">
        <v>72</v>
      </c>
      <c r="C26" s="1">
        <f t="shared" si="0"/>
        <v>45316</v>
      </c>
      <c r="D26">
        <v>2024</v>
      </c>
      <c r="E26" t="s">
        <v>15</v>
      </c>
      <c r="F26" t="s">
        <v>16</v>
      </c>
      <c r="G26" t="s">
        <v>17</v>
      </c>
      <c r="H26" t="s">
        <v>37</v>
      </c>
      <c r="I26" t="s">
        <v>19</v>
      </c>
      <c r="J26" t="s">
        <v>43</v>
      </c>
      <c r="K26">
        <v>5</v>
      </c>
      <c r="L26">
        <v>15000</v>
      </c>
      <c r="M26">
        <v>3</v>
      </c>
      <c r="N26">
        <v>72750</v>
      </c>
      <c r="O26">
        <v>10912.5</v>
      </c>
    </row>
    <row r="27" spans="1:15" x14ac:dyDescent="0.3">
      <c r="A27">
        <v>26</v>
      </c>
      <c r="B27" s="1" t="s">
        <v>73</v>
      </c>
      <c r="C27" s="1">
        <f t="shared" si="0"/>
        <v>45348</v>
      </c>
      <c r="D27">
        <v>2024</v>
      </c>
      <c r="E27" t="s">
        <v>22</v>
      </c>
      <c r="F27" t="s">
        <v>23</v>
      </c>
      <c r="G27" t="s">
        <v>24</v>
      </c>
      <c r="H27" t="s">
        <v>41</v>
      </c>
      <c r="I27" t="s">
        <v>42</v>
      </c>
      <c r="J27" t="s">
        <v>20</v>
      </c>
      <c r="K27">
        <v>6</v>
      </c>
      <c r="L27">
        <v>3000</v>
      </c>
      <c r="M27">
        <v>4</v>
      </c>
      <c r="N27">
        <v>17280</v>
      </c>
      <c r="O27">
        <v>2592</v>
      </c>
    </row>
    <row r="28" spans="1:15" x14ac:dyDescent="0.3">
      <c r="A28">
        <v>27</v>
      </c>
      <c r="B28" s="1" t="s">
        <v>74</v>
      </c>
      <c r="C28" s="1">
        <f t="shared" si="0"/>
        <v>45378</v>
      </c>
      <c r="D28">
        <v>2024</v>
      </c>
      <c r="E28" t="s">
        <v>28</v>
      </c>
      <c r="F28" t="s">
        <v>29</v>
      </c>
      <c r="G28" t="s">
        <v>30</v>
      </c>
      <c r="H28" t="s">
        <v>46</v>
      </c>
      <c r="I28" t="s">
        <v>42</v>
      </c>
      <c r="J28" t="s">
        <v>26</v>
      </c>
      <c r="K28">
        <v>7</v>
      </c>
      <c r="L28">
        <v>8000</v>
      </c>
      <c r="M28">
        <v>5</v>
      </c>
      <c r="N28">
        <v>53200</v>
      </c>
      <c r="O28">
        <v>7980</v>
      </c>
    </row>
    <row r="29" spans="1:15" x14ac:dyDescent="0.3">
      <c r="A29">
        <v>28</v>
      </c>
      <c r="B29" s="1" t="s">
        <v>75</v>
      </c>
      <c r="C29" s="1">
        <f t="shared" si="0"/>
        <v>45410</v>
      </c>
      <c r="D29">
        <v>2024</v>
      </c>
      <c r="E29" t="s">
        <v>34</v>
      </c>
      <c r="F29" t="s">
        <v>35</v>
      </c>
      <c r="G29" t="s">
        <v>36</v>
      </c>
      <c r="H29" t="s">
        <v>49</v>
      </c>
      <c r="I29" t="s">
        <v>42</v>
      </c>
      <c r="J29" t="s">
        <v>32</v>
      </c>
      <c r="K29">
        <v>8</v>
      </c>
      <c r="L29">
        <v>25000</v>
      </c>
      <c r="M29">
        <v>6</v>
      </c>
      <c r="N29">
        <v>188000</v>
      </c>
      <c r="O29">
        <v>28200</v>
      </c>
    </row>
    <row r="30" spans="1:15" x14ac:dyDescent="0.3">
      <c r="A30">
        <v>29</v>
      </c>
      <c r="B30" s="1" t="s">
        <v>76</v>
      </c>
      <c r="C30" s="1">
        <f t="shared" si="0"/>
        <v>45413</v>
      </c>
      <c r="D30">
        <v>2024</v>
      </c>
      <c r="E30" t="s">
        <v>40</v>
      </c>
      <c r="F30" t="s">
        <v>16</v>
      </c>
      <c r="G30" t="s">
        <v>17</v>
      </c>
      <c r="H30" t="s">
        <v>18</v>
      </c>
      <c r="I30" t="s">
        <v>19</v>
      </c>
      <c r="J30" t="s">
        <v>38</v>
      </c>
      <c r="K30">
        <v>9</v>
      </c>
      <c r="L30">
        <v>50000</v>
      </c>
      <c r="M30">
        <v>7</v>
      </c>
      <c r="N30">
        <v>418500</v>
      </c>
      <c r="O30">
        <v>62775</v>
      </c>
    </row>
    <row r="31" spans="1:15" x14ac:dyDescent="0.3">
      <c r="A31">
        <v>30</v>
      </c>
      <c r="B31" s="1" t="s">
        <v>77</v>
      </c>
      <c r="C31" s="1">
        <f t="shared" si="0"/>
        <v>45445</v>
      </c>
      <c r="D31">
        <v>2024</v>
      </c>
      <c r="E31" t="s">
        <v>45</v>
      </c>
      <c r="F31" t="s">
        <v>23</v>
      </c>
      <c r="G31" t="s">
        <v>24</v>
      </c>
      <c r="H31" t="s">
        <v>25</v>
      </c>
      <c r="I31" t="s">
        <v>19</v>
      </c>
      <c r="J31" t="s">
        <v>43</v>
      </c>
      <c r="K31">
        <v>10</v>
      </c>
      <c r="L31">
        <v>20000</v>
      </c>
      <c r="M31">
        <v>8</v>
      </c>
      <c r="N31">
        <v>184000</v>
      </c>
      <c r="O31">
        <v>27600</v>
      </c>
    </row>
    <row r="32" spans="1:15" x14ac:dyDescent="0.3">
      <c r="A32">
        <v>31</v>
      </c>
      <c r="B32" s="1" t="s">
        <v>78</v>
      </c>
      <c r="C32" s="1">
        <f t="shared" si="0"/>
        <v>45476</v>
      </c>
      <c r="D32">
        <v>2024</v>
      </c>
      <c r="E32" t="s">
        <v>48</v>
      </c>
      <c r="F32" t="s">
        <v>29</v>
      </c>
      <c r="G32" t="s">
        <v>30</v>
      </c>
      <c r="H32" t="s">
        <v>31</v>
      </c>
      <c r="I32" t="s">
        <v>19</v>
      </c>
      <c r="J32" t="s">
        <v>20</v>
      </c>
      <c r="K32">
        <v>1</v>
      </c>
      <c r="L32">
        <v>30000</v>
      </c>
      <c r="M32">
        <v>9</v>
      </c>
      <c r="N32">
        <v>27300</v>
      </c>
      <c r="O32">
        <v>4095</v>
      </c>
    </row>
    <row r="33" spans="1:15" x14ac:dyDescent="0.3">
      <c r="A33">
        <v>32</v>
      </c>
      <c r="B33" s="1" t="s">
        <v>79</v>
      </c>
      <c r="C33" s="1">
        <f t="shared" si="0"/>
        <v>45508</v>
      </c>
      <c r="D33">
        <v>2024</v>
      </c>
      <c r="E33" t="s">
        <v>51</v>
      </c>
      <c r="F33" t="s">
        <v>35</v>
      </c>
      <c r="G33" t="s">
        <v>36</v>
      </c>
      <c r="H33" t="s">
        <v>37</v>
      </c>
      <c r="I33" t="s">
        <v>19</v>
      </c>
      <c r="J33" t="s">
        <v>26</v>
      </c>
      <c r="K33">
        <v>2</v>
      </c>
      <c r="L33">
        <v>15000</v>
      </c>
      <c r="M33">
        <v>10</v>
      </c>
      <c r="N33">
        <v>27000</v>
      </c>
      <c r="O33">
        <v>4050</v>
      </c>
    </row>
    <row r="34" spans="1:15" x14ac:dyDescent="0.3">
      <c r="A34">
        <v>33</v>
      </c>
      <c r="B34" s="1" t="s">
        <v>80</v>
      </c>
      <c r="C34" s="1">
        <f t="shared" ref="C34:C65" si="1">DATEVALUE(B34)</f>
        <v>45540</v>
      </c>
      <c r="D34">
        <v>2024</v>
      </c>
      <c r="E34" t="s">
        <v>53</v>
      </c>
      <c r="F34" t="s">
        <v>16</v>
      </c>
      <c r="G34" t="s">
        <v>17</v>
      </c>
      <c r="H34" t="s">
        <v>41</v>
      </c>
      <c r="I34" t="s">
        <v>42</v>
      </c>
      <c r="J34" t="s">
        <v>32</v>
      </c>
      <c r="K34">
        <v>3</v>
      </c>
      <c r="L34">
        <v>3000</v>
      </c>
      <c r="M34">
        <v>11</v>
      </c>
      <c r="N34">
        <v>8010</v>
      </c>
      <c r="O34">
        <v>1201.5</v>
      </c>
    </row>
    <row r="35" spans="1:15" x14ac:dyDescent="0.3">
      <c r="A35">
        <v>34</v>
      </c>
      <c r="B35" s="1" t="s">
        <v>81</v>
      </c>
      <c r="C35" s="1">
        <f t="shared" si="1"/>
        <v>45571</v>
      </c>
      <c r="D35">
        <v>2024</v>
      </c>
      <c r="E35" t="s">
        <v>55</v>
      </c>
      <c r="F35" t="s">
        <v>23</v>
      </c>
      <c r="G35" t="s">
        <v>24</v>
      </c>
      <c r="H35" t="s">
        <v>46</v>
      </c>
      <c r="I35" t="s">
        <v>42</v>
      </c>
      <c r="J35" t="s">
        <v>38</v>
      </c>
      <c r="K35">
        <v>4</v>
      </c>
      <c r="L35">
        <v>8000</v>
      </c>
      <c r="M35">
        <v>12</v>
      </c>
      <c r="N35">
        <v>28160</v>
      </c>
      <c r="O35">
        <v>4224</v>
      </c>
    </row>
    <row r="36" spans="1:15" x14ac:dyDescent="0.3">
      <c r="A36">
        <v>35</v>
      </c>
      <c r="B36" s="1" t="s">
        <v>82</v>
      </c>
      <c r="C36" s="1">
        <f t="shared" si="1"/>
        <v>45603</v>
      </c>
      <c r="D36">
        <v>2024</v>
      </c>
      <c r="E36" t="s">
        <v>57</v>
      </c>
      <c r="F36" t="s">
        <v>29</v>
      </c>
      <c r="G36" t="s">
        <v>30</v>
      </c>
      <c r="H36" t="s">
        <v>49</v>
      </c>
      <c r="I36" t="s">
        <v>42</v>
      </c>
      <c r="J36" t="s">
        <v>43</v>
      </c>
      <c r="K36">
        <v>5</v>
      </c>
      <c r="L36">
        <v>25000</v>
      </c>
      <c r="M36">
        <v>13</v>
      </c>
      <c r="N36">
        <v>108750</v>
      </c>
      <c r="O36">
        <v>16312.5</v>
      </c>
    </row>
    <row r="37" spans="1:15" x14ac:dyDescent="0.3">
      <c r="A37">
        <v>36</v>
      </c>
      <c r="B37" s="1" t="s">
        <v>83</v>
      </c>
      <c r="C37" s="1">
        <f t="shared" si="1"/>
        <v>45634</v>
      </c>
      <c r="D37">
        <v>2024</v>
      </c>
      <c r="E37" t="s">
        <v>59</v>
      </c>
      <c r="F37" t="s">
        <v>35</v>
      </c>
      <c r="G37" t="s">
        <v>36</v>
      </c>
      <c r="H37" t="s">
        <v>18</v>
      </c>
      <c r="I37" t="s">
        <v>19</v>
      </c>
      <c r="J37" t="s">
        <v>20</v>
      </c>
      <c r="K37">
        <v>6</v>
      </c>
      <c r="L37">
        <v>50000</v>
      </c>
      <c r="M37">
        <v>14</v>
      </c>
      <c r="N37">
        <v>258000</v>
      </c>
      <c r="O37">
        <v>38700</v>
      </c>
    </row>
    <row r="38" spans="1:15" x14ac:dyDescent="0.3">
      <c r="A38">
        <v>37</v>
      </c>
      <c r="B38" s="1" t="s">
        <v>84</v>
      </c>
      <c r="C38" s="1">
        <f t="shared" si="1"/>
        <v>45300</v>
      </c>
      <c r="D38">
        <v>2024</v>
      </c>
      <c r="E38" t="s">
        <v>15</v>
      </c>
      <c r="F38" t="s">
        <v>16</v>
      </c>
      <c r="G38" t="s">
        <v>17</v>
      </c>
      <c r="H38" t="s">
        <v>25</v>
      </c>
      <c r="I38" t="s">
        <v>19</v>
      </c>
      <c r="J38" t="s">
        <v>26</v>
      </c>
      <c r="K38">
        <v>7</v>
      </c>
      <c r="L38">
        <v>20000</v>
      </c>
      <c r="M38">
        <v>3</v>
      </c>
      <c r="N38">
        <v>135800</v>
      </c>
      <c r="O38">
        <v>20370</v>
      </c>
    </row>
    <row r="39" spans="1:15" x14ac:dyDescent="0.3">
      <c r="A39">
        <v>38</v>
      </c>
      <c r="B39" s="1" t="s">
        <v>85</v>
      </c>
      <c r="C39" s="1">
        <f t="shared" si="1"/>
        <v>45332</v>
      </c>
      <c r="D39">
        <v>2024</v>
      </c>
      <c r="E39" t="s">
        <v>22</v>
      </c>
      <c r="F39" t="s">
        <v>23</v>
      </c>
      <c r="G39" t="s">
        <v>24</v>
      </c>
      <c r="H39" t="s">
        <v>31</v>
      </c>
      <c r="I39" t="s">
        <v>19</v>
      </c>
      <c r="J39" t="s">
        <v>32</v>
      </c>
      <c r="K39">
        <v>8</v>
      </c>
      <c r="L39">
        <v>30000</v>
      </c>
      <c r="M39">
        <v>4</v>
      </c>
      <c r="N39">
        <v>230400</v>
      </c>
      <c r="O39">
        <v>34560</v>
      </c>
    </row>
    <row r="40" spans="1:15" x14ac:dyDescent="0.3">
      <c r="A40">
        <v>39</v>
      </c>
      <c r="B40" s="1" t="s">
        <v>86</v>
      </c>
      <c r="C40" s="1">
        <f t="shared" si="1"/>
        <v>45362</v>
      </c>
      <c r="D40">
        <v>2024</v>
      </c>
      <c r="E40" t="s">
        <v>28</v>
      </c>
      <c r="F40" t="s">
        <v>29</v>
      </c>
      <c r="G40" t="s">
        <v>30</v>
      </c>
      <c r="H40" t="s">
        <v>37</v>
      </c>
      <c r="I40" t="s">
        <v>19</v>
      </c>
      <c r="J40" t="s">
        <v>38</v>
      </c>
      <c r="K40">
        <v>9</v>
      </c>
      <c r="L40">
        <v>15000</v>
      </c>
      <c r="M40">
        <v>5</v>
      </c>
      <c r="N40">
        <v>128250</v>
      </c>
      <c r="O40">
        <v>19237.5</v>
      </c>
    </row>
    <row r="41" spans="1:15" x14ac:dyDescent="0.3">
      <c r="A41">
        <v>40</v>
      </c>
      <c r="B41" s="1" t="s">
        <v>87</v>
      </c>
      <c r="C41" s="1">
        <f t="shared" si="1"/>
        <v>45394</v>
      </c>
      <c r="D41">
        <v>2024</v>
      </c>
      <c r="E41" t="s">
        <v>34</v>
      </c>
      <c r="F41" t="s">
        <v>35</v>
      </c>
      <c r="G41" t="s">
        <v>36</v>
      </c>
      <c r="H41" t="s">
        <v>41</v>
      </c>
      <c r="I41" t="s">
        <v>42</v>
      </c>
      <c r="J41" t="s">
        <v>43</v>
      </c>
      <c r="K41">
        <v>10</v>
      </c>
      <c r="L41">
        <v>3000</v>
      </c>
      <c r="M41">
        <v>6</v>
      </c>
      <c r="N41">
        <v>28200</v>
      </c>
      <c r="O41">
        <v>4230</v>
      </c>
    </row>
    <row r="42" spans="1:15" x14ac:dyDescent="0.3">
      <c r="A42">
        <v>41</v>
      </c>
      <c r="B42" s="1" t="s">
        <v>88</v>
      </c>
      <c r="C42" s="1">
        <f t="shared" si="1"/>
        <v>45425</v>
      </c>
      <c r="D42">
        <v>2024</v>
      </c>
      <c r="E42" t="s">
        <v>40</v>
      </c>
      <c r="F42" t="s">
        <v>16</v>
      </c>
      <c r="G42" t="s">
        <v>17</v>
      </c>
      <c r="H42" t="s">
        <v>46</v>
      </c>
      <c r="I42" t="s">
        <v>42</v>
      </c>
      <c r="J42" t="s">
        <v>20</v>
      </c>
      <c r="K42">
        <v>1</v>
      </c>
      <c r="L42">
        <v>8000</v>
      </c>
      <c r="M42">
        <v>7</v>
      </c>
      <c r="N42">
        <v>7440</v>
      </c>
      <c r="O42">
        <v>1116</v>
      </c>
    </row>
    <row r="43" spans="1:15" x14ac:dyDescent="0.3">
      <c r="A43">
        <v>42</v>
      </c>
      <c r="B43" s="1" t="s">
        <v>89</v>
      </c>
      <c r="C43" s="1">
        <f t="shared" si="1"/>
        <v>45457</v>
      </c>
      <c r="D43">
        <v>2024</v>
      </c>
      <c r="E43" t="s">
        <v>45</v>
      </c>
      <c r="F43" t="s">
        <v>23</v>
      </c>
      <c r="G43" t="s">
        <v>24</v>
      </c>
      <c r="H43" t="s">
        <v>49</v>
      </c>
      <c r="I43" t="s">
        <v>42</v>
      </c>
      <c r="J43" t="s">
        <v>26</v>
      </c>
      <c r="K43">
        <v>2</v>
      </c>
      <c r="L43">
        <v>25000</v>
      </c>
      <c r="M43">
        <v>8</v>
      </c>
      <c r="N43">
        <v>46000</v>
      </c>
      <c r="O43">
        <v>6900</v>
      </c>
    </row>
    <row r="44" spans="1:15" x14ac:dyDescent="0.3">
      <c r="A44">
        <v>43</v>
      </c>
      <c r="B44" s="1" t="s">
        <v>90</v>
      </c>
      <c r="C44" s="1">
        <f t="shared" si="1"/>
        <v>45488</v>
      </c>
      <c r="D44">
        <v>2024</v>
      </c>
      <c r="E44" t="s">
        <v>48</v>
      </c>
      <c r="F44" t="s">
        <v>29</v>
      </c>
      <c r="G44" t="s">
        <v>30</v>
      </c>
      <c r="H44" t="s">
        <v>18</v>
      </c>
      <c r="I44" t="s">
        <v>19</v>
      </c>
      <c r="J44" t="s">
        <v>32</v>
      </c>
      <c r="K44">
        <v>3</v>
      </c>
      <c r="L44">
        <v>50000</v>
      </c>
      <c r="M44">
        <v>9</v>
      </c>
      <c r="N44">
        <v>136500</v>
      </c>
      <c r="O44">
        <v>20475</v>
      </c>
    </row>
    <row r="45" spans="1:15" x14ac:dyDescent="0.3">
      <c r="A45">
        <v>44</v>
      </c>
      <c r="B45" s="1" t="s">
        <v>91</v>
      </c>
      <c r="C45" s="1">
        <f t="shared" si="1"/>
        <v>45520</v>
      </c>
      <c r="D45">
        <v>2024</v>
      </c>
      <c r="E45" t="s">
        <v>51</v>
      </c>
      <c r="F45" t="s">
        <v>35</v>
      </c>
      <c r="G45" t="s">
        <v>36</v>
      </c>
      <c r="H45" t="s">
        <v>25</v>
      </c>
      <c r="I45" t="s">
        <v>19</v>
      </c>
      <c r="J45" t="s">
        <v>38</v>
      </c>
      <c r="K45">
        <v>4</v>
      </c>
      <c r="L45">
        <v>20000</v>
      </c>
      <c r="M45">
        <v>10</v>
      </c>
      <c r="N45">
        <v>72000</v>
      </c>
      <c r="O45">
        <v>10800</v>
      </c>
    </row>
    <row r="46" spans="1:15" x14ac:dyDescent="0.3">
      <c r="A46">
        <v>45</v>
      </c>
      <c r="B46" s="1" t="s">
        <v>92</v>
      </c>
      <c r="C46" s="1">
        <f t="shared" si="1"/>
        <v>45552</v>
      </c>
      <c r="D46">
        <v>2024</v>
      </c>
      <c r="E46" t="s">
        <v>53</v>
      </c>
      <c r="F46" t="s">
        <v>16</v>
      </c>
      <c r="G46" t="s">
        <v>17</v>
      </c>
      <c r="H46" t="s">
        <v>31</v>
      </c>
      <c r="I46" t="s">
        <v>19</v>
      </c>
      <c r="J46" t="s">
        <v>43</v>
      </c>
      <c r="K46">
        <v>5</v>
      </c>
      <c r="L46">
        <v>30000</v>
      </c>
      <c r="M46">
        <v>11</v>
      </c>
      <c r="N46">
        <v>133500</v>
      </c>
      <c r="O46">
        <v>20025</v>
      </c>
    </row>
    <row r="47" spans="1:15" x14ac:dyDescent="0.3">
      <c r="A47">
        <v>46</v>
      </c>
      <c r="B47" s="1" t="s">
        <v>93</v>
      </c>
      <c r="C47" s="1">
        <f t="shared" si="1"/>
        <v>45583</v>
      </c>
      <c r="D47">
        <v>2024</v>
      </c>
      <c r="E47" t="s">
        <v>55</v>
      </c>
      <c r="F47" t="s">
        <v>23</v>
      </c>
      <c r="G47" t="s">
        <v>24</v>
      </c>
      <c r="H47" t="s">
        <v>37</v>
      </c>
      <c r="I47" t="s">
        <v>19</v>
      </c>
      <c r="J47" t="s">
        <v>20</v>
      </c>
      <c r="K47">
        <v>6</v>
      </c>
      <c r="L47">
        <v>15000</v>
      </c>
      <c r="M47">
        <v>12</v>
      </c>
      <c r="N47">
        <v>79200</v>
      </c>
      <c r="O47">
        <v>11880</v>
      </c>
    </row>
    <row r="48" spans="1:15" x14ac:dyDescent="0.3">
      <c r="A48">
        <v>47</v>
      </c>
      <c r="B48" s="1" t="s">
        <v>94</v>
      </c>
      <c r="C48" s="1">
        <f t="shared" si="1"/>
        <v>45615</v>
      </c>
      <c r="D48">
        <v>2024</v>
      </c>
      <c r="E48" t="s">
        <v>57</v>
      </c>
      <c r="F48" t="s">
        <v>29</v>
      </c>
      <c r="G48" t="s">
        <v>30</v>
      </c>
      <c r="H48" t="s">
        <v>41</v>
      </c>
      <c r="I48" t="s">
        <v>42</v>
      </c>
      <c r="J48" t="s">
        <v>26</v>
      </c>
      <c r="K48">
        <v>7</v>
      </c>
      <c r="L48">
        <v>3000</v>
      </c>
      <c r="M48">
        <v>13</v>
      </c>
      <c r="N48">
        <v>18270</v>
      </c>
      <c r="O48">
        <v>2740.5</v>
      </c>
    </row>
    <row r="49" spans="1:15" x14ac:dyDescent="0.3">
      <c r="A49">
        <v>48</v>
      </c>
      <c r="B49" s="1" t="s">
        <v>95</v>
      </c>
      <c r="C49" s="1">
        <f t="shared" si="1"/>
        <v>45646</v>
      </c>
      <c r="D49">
        <v>2024</v>
      </c>
      <c r="E49" t="s">
        <v>59</v>
      </c>
      <c r="F49" t="s">
        <v>35</v>
      </c>
      <c r="G49" t="s">
        <v>36</v>
      </c>
      <c r="H49" t="s">
        <v>46</v>
      </c>
      <c r="I49" t="s">
        <v>42</v>
      </c>
      <c r="J49" t="s">
        <v>32</v>
      </c>
      <c r="K49">
        <v>8</v>
      </c>
      <c r="L49">
        <v>8000</v>
      </c>
      <c r="M49">
        <v>14</v>
      </c>
      <c r="N49">
        <v>55040</v>
      </c>
      <c r="O49">
        <v>8256</v>
      </c>
    </row>
    <row r="50" spans="1:15" x14ac:dyDescent="0.3">
      <c r="A50">
        <v>49</v>
      </c>
      <c r="B50" s="1" t="s">
        <v>96</v>
      </c>
      <c r="C50" s="1">
        <f t="shared" si="1"/>
        <v>45312</v>
      </c>
      <c r="D50">
        <v>2024</v>
      </c>
      <c r="E50" t="s">
        <v>15</v>
      </c>
      <c r="F50" t="s">
        <v>16</v>
      </c>
      <c r="G50" t="s">
        <v>17</v>
      </c>
      <c r="H50" t="s">
        <v>49</v>
      </c>
      <c r="I50" t="s">
        <v>42</v>
      </c>
      <c r="J50" t="s">
        <v>38</v>
      </c>
      <c r="K50">
        <v>9</v>
      </c>
      <c r="L50">
        <v>25000</v>
      </c>
      <c r="M50">
        <v>3</v>
      </c>
      <c r="N50">
        <v>218250</v>
      </c>
      <c r="O50">
        <v>32737.5</v>
      </c>
    </row>
    <row r="51" spans="1:15" x14ac:dyDescent="0.3">
      <c r="A51">
        <v>50</v>
      </c>
      <c r="B51" s="1" t="s">
        <v>97</v>
      </c>
      <c r="C51" s="1">
        <f t="shared" si="1"/>
        <v>45344</v>
      </c>
      <c r="D51">
        <v>2024</v>
      </c>
      <c r="E51" t="s">
        <v>22</v>
      </c>
      <c r="F51" t="s">
        <v>23</v>
      </c>
      <c r="G51" t="s">
        <v>24</v>
      </c>
      <c r="H51" t="s">
        <v>18</v>
      </c>
      <c r="I51" t="s">
        <v>19</v>
      </c>
      <c r="J51" t="s">
        <v>43</v>
      </c>
      <c r="K51">
        <v>10</v>
      </c>
      <c r="L51">
        <v>50000</v>
      </c>
      <c r="M51">
        <v>4</v>
      </c>
      <c r="N51">
        <v>480000</v>
      </c>
      <c r="O51">
        <v>72000</v>
      </c>
    </row>
    <row r="52" spans="1:15" x14ac:dyDescent="0.3">
      <c r="A52">
        <v>51</v>
      </c>
      <c r="B52" s="1" t="s">
        <v>98</v>
      </c>
      <c r="C52" s="1">
        <f t="shared" si="1"/>
        <v>45374</v>
      </c>
      <c r="D52">
        <v>2024</v>
      </c>
      <c r="E52" t="s">
        <v>28</v>
      </c>
      <c r="F52" t="s">
        <v>29</v>
      </c>
      <c r="G52" t="s">
        <v>30</v>
      </c>
      <c r="H52" t="s">
        <v>25</v>
      </c>
      <c r="I52" t="s">
        <v>19</v>
      </c>
      <c r="J52" t="s">
        <v>20</v>
      </c>
      <c r="K52">
        <v>1</v>
      </c>
      <c r="L52">
        <v>20000</v>
      </c>
      <c r="M52">
        <v>5</v>
      </c>
      <c r="N52">
        <v>19000</v>
      </c>
      <c r="O52">
        <v>2850</v>
      </c>
    </row>
    <row r="53" spans="1:15" x14ac:dyDescent="0.3">
      <c r="A53">
        <v>52</v>
      </c>
      <c r="B53" s="1" t="s">
        <v>99</v>
      </c>
      <c r="C53" s="1">
        <f t="shared" si="1"/>
        <v>45406</v>
      </c>
      <c r="D53">
        <v>2024</v>
      </c>
      <c r="E53" t="s">
        <v>34</v>
      </c>
      <c r="F53" t="s">
        <v>35</v>
      </c>
      <c r="G53" t="s">
        <v>36</v>
      </c>
      <c r="H53" t="s">
        <v>31</v>
      </c>
      <c r="I53" t="s">
        <v>19</v>
      </c>
      <c r="J53" t="s">
        <v>26</v>
      </c>
      <c r="K53">
        <v>2</v>
      </c>
      <c r="L53">
        <v>30000</v>
      </c>
      <c r="M53">
        <v>6</v>
      </c>
      <c r="N53">
        <v>56400</v>
      </c>
      <c r="O53">
        <v>8460</v>
      </c>
    </row>
    <row r="54" spans="1:15" x14ac:dyDescent="0.3">
      <c r="A54">
        <v>53</v>
      </c>
      <c r="B54" s="1" t="s">
        <v>100</v>
      </c>
      <c r="C54" s="1">
        <f t="shared" si="1"/>
        <v>45437</v>
      </c>
      <c r="D54">
        <v>2024</v>
      </c>
      <c r="E54" t="s">
        <v>40</v>
      </c>
      <c r="F54" t="s">
        <v>16</v>
      </c>
      <c r="G54" t="s">
        <v>17</v>
      </c>
      <c r="H54" t="s">
        <v>37</v>
      </c>
      <c r="I54" t="s">
        <v>19</v>
      </c>
      <c r="J54" t="s">
        <v>32</v>
      </c>
      <c r="K54">
        <v>3</v>
      </c>
      <c r="L54">
        <v>15000</v>
      </c>
      <c r="M54">
        <v>7</v>
      </c>
      <c r="N54">
        <v>41850</v>
      </c>
      <c r="O54">
        <v>6277.5</v>
      </c>
    </row>
    <row r="55" spans="1:15" x14ac:dyDescent="0.3">
      <c r="A55">
        <v>54</v>
      </c>
      <c r="B55" s="1" t="s">
        <v>101</v>
      </c>
      <c r="C55" s="1">
        <f t="shared" si="1"/>
        <v>45469</v>
      </c>
      <c r="D55">
        <v>2024</v>
      </c>
      <c r="E55" t="s">
        <v>45</v>
      </c>
      <c r="F55" t="s">
        <v>23</v>
      </c>
      <c r="G55" t="s">
        <v>24</v>
      </c>
      <c r="H55" t="s">
        <v>41</v>
      </c>
      <c r="I55" t="s">
        <v>42</v>
      </c>
      <c r="J55" t="s">
        <v>38</v>
      </c>
      <c r="K55">
        <v>4</v>
      </c>
      <c r="L55">
        <v>3000</v>
      </c>
      <c r="M55">
        <v>8</v>
      </c>
      <c r="N55">
        <v>11040</v>
      </c>
      <c r="O55">
        <v>1656</v>
      </c>
    </row>
    <row r="56" spans="1:15" x14ac:dyDescent="0.3">
      <c r="A56">
        <v>55</v>
      </c>
      <c r="B56" s="1" t="s">
        <v>102</v>
      </c>
      <c r="C56" s="1">
        <f t="shared" si="1"/>
        <v>45500</v>
      </c>
      <c r="D56">
        <v>2024</v>
      </c>
      <c r="E56" t="s">
        <v>48</v>
      </c>
      <c r="F56" t="s">
        <v>29</v>
      </c>
      <c r="G56" t="s">
        <v>30</v>
      </c>
      <c r="H56" t="s">
        <v>46</v>
      </c>
      <c r="I56" t="s">
        <v>42</v>
      </c>
      <c r="J56" t="s">
        <v>43</v>
      </c>
      <c r="K56">
        <v>5</v>
      </c>
      <c r="L56">
        <v>8000</v>
      </c>
      <c r="M56">
        <v>9</v>
      </c>
      <c r="N56">
        <v>36400</v>
      </c>
      <c r="O56">
        <v>5460</v>
      </c>
    </row>
    <row r="57" spans="1:15" x14ac:dyDescent="0.3">
      <c r="A57">
        <v>56</v>
      </c>
      <c r="B57" s="1" t="s">
        <v>103</v>
      </c>
      <c r="C57" s="1">
        <f t="shared" si="1"/>
        <v>45532</v>
      </c>
      <c r="D57">
        <v>2024</v>
      </c>
      <c r="E57" t="s">
        <v>51</v>
      </c>
      <c r="F57" t="s">
        <v>35</v>
      </c>
      <c r="G57" t="s">
        <v>36</v>
      </c>
      <c r="H57" t="s">
        <v>49</v>
      </c>
      <c r="I57" t="s">
        <v>42</v>
      </c>
      <c r="J57" t="s">
        <v>20</v>
      </c>
      <c r="K57">
        <v>6</v>
      </c>
      <c r="L57">
        <v>25000</v>
      </c>
      <c r="M57">
        <v>10</v>
      </c>
      <c r="N57">
        <v>135000</v>
      </c>
      <c r="O57">
        <v>20250</v>
      </c>
    </row>
    <row r="58" spans="1:15" x14ac:dyDescent="0.3">
      <c r="A58">
        <v>57</v>
      </c>
      <c r="B58" s="1" t="s">
        <v>104</v>
      </c>
      <c r="C58" s="1">
        <f t="shared" si="1"/>
        <v>45536</v>
      </c>
      <c r="D58">
        <v>2024</v>
      </c>
      <c r="E58" t="s">
        <v>53</v>
      </c>
      <c r="F58" t="s">
        <v>16</v>
      </c>
      <c r="G58" t="s">
        <v>17</v>
      </c>
      <c r="H58" t="s">
        <v>18</v>
      </c>
      <c r="I58" t="s">
        <v>19</v>
      </c>
      <c r="J58" t="s">
        <v>26</v>
      </c>
      <c r="K58">
        <v>7</v>
      </c>
      <c r="L58">
        <v>50000</v>
      </c>
      <c r="M58">
        <v>11</v>
      </c>
      <c r="N58">
        <v>311500</v>
      </c>
      <c r="O58">
        <v>46725</v>
      </c>
    </row>
    <row r="59" spans="1:15" x14ac:dyDescent="0.3">
      <c r="A59">
        <v>58</v>
      </c>
      <c r="B59" s="1" t="s">
        <v>105</v>
      </c>
      <c r="C59" s="1">
        <f t="shared" si="1"/>
        <v>45567</v>
      </c>
      <c r="D59">
        <v>2024</v>
      </c>
      <c r="E59" t="s">
        <v>55</v>
      </c>
      <c r="F59" t="s">
        <v>23</v>
      </c>
      <c r="G59" t="s">
        <v>24</v>
      </c>
      <c r="H59" t="s">
        <v>25</v>
      </c>
      <c r="I59" t="s">
        <v>19</v>
      </c>
      <c r="J59" t="s">
        <v>32</v>
      </c>
      <c r="K59">
        <v>8</v>
      </c>
      <c r="L59">
        <v>20000</v>
      </c>
      <c r="M59">
        <v>12</v>
      </c>
      <c r="N59">
        <v>140800</v>
      </c>
      <c r="O59">
        <v>21120</v>
      </c>
    </row>
    <row r="60" spans="1:15" x14ac:dyDescent="0.3">
      <c r="A60">
        <v>59</v>
      </c>
      <c r="B60" s="1" t="s">
        <v>106</v>
      </c>
      <c r="C60" s="1">
        <f t="shared" si="1"/>
        <v>45599</v>
      </c>
      <c r="D60">
        <v>2024</v>
      </c>
      <c r="E60" t="s">
        <v>57</v>
      </c>
      <c r="F60" t="s">
        <v>29</v>
      </c>
      <c r="G60" t="s">
        <v>30</v>
      </c>
      <c r="H60" t="s">
        <v>31</v>
      </c>
      <c r="I60" t="s">
        <v>19</v>
      </c>
      <c r="J60" t="s">
        <v>38</v>
      </c>
      <c r="K60">
        <v>9</v>
      </c>
      <c r="L60">
        <v>30000</v>
      </c>
      <c r="M60">
        <v>13</v>
      </c>
      <c r="N60">
        <v>234900</v>
      </c>
      <c r="O60">
        <v>35235</v>
      </c>
    </row>
    <row r="61" spans="1:15" x14ac:dyDescent="0.3">
      <c r="A61">
        <v>60</v>
      </c>
      <c r="B61" s="1" t="s">
        <v>107</v>
      </c>
      <c r="C61" s="1">
        <f t="shared" si="1"/>
        <v>45630</v>
      </c>
      <c r="D61">
        <v>2024</v>
      </c>
      <c r="E61" t="s">
        <v>59</v>
      </c>
      <c r="F61" t="s">
        <v>35</v>
      </c>
      <c r="G61" t="s">
        <v>36</v>
      </c>
      <c r="H61" t="s">
        <v>37</v>
      </c>
      <c r="I61" t="s">
        <v>19</v>
      </c>
      <c r="J61" t="s">
        <v>43</v>
      </c>
      <c r="K61">
        <v>10</v>
      </c>
      <c r="L61">
        <v>15000</v>
      </c>
      <c r="M61">
        <v>14</v>
      </c>
      <c r="N61">
        <v>129000</v>
      </c>
      <c r="O61">
        <v>19350</v>
      </c>
    </row>
    <row r="62" spans="1:15" x14ac:dyDescent="0.3">
      <c r="A62">
        <v>61</v>
      </c>
      <c r="B62" s="1" t="s">
        <v>108</v>
      </c>
      <c r="C62" s="1">
        <f t="shared" si="1"/>
        <v>45296</v>
      </c>
      <c r="D62">
        <v>2024</v>
      </c>
      <c r="E62" t="s">
        <v>15</v>
      </c>
      <c r="F62" t="s">
        <v>16</v>
      </c>
      <c r="G62" t="s">
        <v>17</v>
      </c>
      <c r="H62" t="s">
        <v>41</v>
      </c>
      <c r="I62" t="s">
        <v>42</v>
      </c>
      <c r="J62" t="s">
        <v>20</v>
      </c>
      <c r="K62">
        <v>1</v>
      </c>
      <c r="L62">
        <v>3000</v>
      </c>
      <c r="M62">
        <v>3</v>
      </c>
      <c r="N62">
        <v>2910</v>
      </c>
      <c r="O62">
        <v>436.5</v>
      </c>
    </row>
    <row r="63" spans="1:15" x14ac:dyDescent="0.3">
      <c r="A63">
        <v>62</v>
      </c>
      <c r="B63" s="1" t="s">
        <v>109</v>
      </c>
      <c r="C63" s="1">
        <f t="shared" si="1"/>
        <v>45328</v>
      </c>
      <c r="D63">
        <v>2024</v>
      </c>
      <c r="E63" t="s">
        <v>22</v>
      </c>
      <c r="F63" t="s">
        <v>23</v>
      </c>
      <c r="G63" t="s">
        <v>24</v>
      </c>
      <c r="H63" t="s">
        <v>46</v>
      </c>
      <c r="I63" t="s">
        <v>42</v>
      </c>
      <c r="J63" t="s">
        <v>26</v>
      </c>
      <c r="K63">
        <v>2</v>
      </c>
      <c r="L63">
        <v>8000</v>
      </c>
      <c r="M63">
        <v>4</v>
      </c>
      <c r="N63">
        <v>15360</v>
      </c>
      <c r="O63">
        <v>2304</v>
      </c>
    </row>
    <row r="64" spans="1:15" x14ac:dyDescent="0.3">
      <c r="A64">
        <v>63</v>
      </c>
      <c r="B64" s="1" t="s">
        <v>110</v>
      </c>
      <c r="C64" s="1">
        <f t="shared" si="1"/>
        <v>45358</v>
      </c>
      <c r="D64">
        <v>2024</v>
      </c>
      <c r="E64" t="s">
        <v>28</v>
      </c>
      <c r="F64" t="s">
        <v>29</v>
      </c>
      <c r="G64" t="s">
        <v>30</v>
      </c>
      <c r="H64" t="s">
        <v>49</v>
      </c>
      <c r="I64" t="s">
        <v>42</v>
      </c>
      <c r="J64" t="s">
        <v>32</v>
      </c>
      <c r="K64">
        <v>3</v>
      </c>
      <c r="L64">
        <v>25000</v>
      </c>
      <c r="M64">
        <v>5</v>
      </c>
      <c r="N64">
        <v>71250</v>
      </c>
      <c r="O64">
        <v>10687.5</v>
      </c>
    </row>
    <row r="65" spans="1:15" x14ac:dyDescent="0.3">
      <c r="A65">
        <v>64</v>
      </c>
      <c r="B65" s="1" t="s">
        <v>111</v>
      </c>
      <c r="C65" s="1">
        <f t="shared" si="1"/>
        <v>45390</v>
      </c>
      <c r="D65">
        <v>2024</v>
      </c>
      <c r="E65" t="s">
        <v>34</v>
      </c>
      <c r="F65" t="s">
        <v>35</v>
      </c>
      <c r="G65" t="s">
        <v>36</v>
      </c>
      <c r="H65" t="s">
        <v>18</v>
      </c>
      <c r="I65" t="s">
        <v>19</v>
      </c>
      <c r="J65" t="s">
        <v>38</v>
      </c>
      <c r="K65">
        <v>4</v>
      </c>
      <c r="L65">
        <v>50000</v>
      </c>
      <c r="M65">
        <v>6</v>
      </c>
      <c r="N65">
        <v>188000</v>
      </c>
      <c r="O65">
        <v>28200</v>
      </c>
    </row>
    <row r="66" spans="1:15" x14ac:dyDescent="0.3">
      <c r="A66">
        <v>65</v>
      </c>
      <c r="B66" s="1" t="s">
        <v>112</v>
      </c>
      <c r="C66" s="1">
        <f t="shared" ref="C66:C97" si="2">DATEVALUE(B66)</f>
        <v>45421</v>
      </c>
      <c r="D66">
        <v>2024</v>
      </c>
      <c r="E66" t="s">
        <v>40</v>
      </c>
      <c r="F66" t="s">
        <v>16</v>
      </c>
      <c r="G66" t="s">
        <v>17</v>
      </c>
      <c r="H66" t="s">
        <v>25</v>
      </c>
      <c r="I66" t="s">
        <v>19</v>
      </c>
      <c r="J66" t="s">
        <v>43</v>
      </c>
      <c r="K66">
        <v>5</v>
      </c>
      <c r="L66">
        <v>20000</v>
      </c>
      <c r="M66">
        <v>7</v>
      </c>
      <c r="N66">
        <v>93000</v>
      </c>
      <c r="O66">
        <v>13950</v>
      </c>
    </row>
    <row r="67" spans="1:15" x14ac:dyDescent="0.3">
      <c r="A67">
        <v>66</v>
      </c>
      <c r="B67" s="1" t="s">
        <v>113</v>
      </c>
      <c r="C67" s="1">
        <f t="shared" si="2"/>
        <v>45453</v>
      </c>
      <c r="D67">
        <v>2024</v>
      </c>
      <c r="E67" t="s">
        <v>45</v>
      </c>
      <c r="F67" t="s">
        <v>23</v>
      </c>
      <c r="G67" t="s">
        <v>24</v>
      </c>
      <c r="H67" t="s">
        <v>31</v>
      </c>
      <c r="I67" t="s">
        <v>19</v>
      </c>
      <c r="J67" t="s">
        <v>20</v>
      </c>
      <c r="K67">
        <v>6</v>
      </c>
      <c r="L67">
        <v>30000</v>
      </c>
      <c r="M67">
        <v>8</v>
      </c>
      <c r="N67">
        <v>165600</v>
      </c>
      <c r="O67">
        <v>24840</v>
      </c>
    </row>
    <row r="68" spans="1:15" x14ac:dyDescent="0.3">
      <c r="A68">
        <v>67</v>
      </c>
      <c r="B68" s="1" t="s">
        <v>114</v>
      </c>
      <c r="C68" s="1">
        <f t="shared" si="2"/>
        <v>45484</v>
      </c>
      <c r="D68">
        <v>2024</v>
      </c>
      <c r="E68" t="s">
        <v>48</v>
      </c>
      <c r="F68" t="s">
        <v>29</v>
      </c>
      <c r="G68" t="s">
        <v>30</v>
      </c>
      <c r="H68" t="s">
        <v>37</v>
      </c>
      <c r="I68" t="s">
        <v>19</v>
      </c>
      <c r="J68" t="s">
        <v>26</v>
      </c>
      <c r="K68">
        <v>7</v>
      </c>
      <c r="L68">
        <v>15000</v>
      </c>
      <c r="M68">
        <v>9</v>
      </c>
      <c r="N68">
        <v>95550</v>
      </c>
      <c r="O68">
        <v>14332.5</v>
      </c>
    </row>
    <row r="69" spans="1:15" x14ac:dyDescent="0.3">
      <c r="A69">
        <v>68</v>
      </c>
      <c r="B69" s="1" t="s">
        <v>115</v>
      </c>
      <c r="C69" s="1">
        <f t="shared" si="2"/>
        <v>45516</v>
      </c>
      <c r="D69">
        <v>2024</v>
      </c>
      <c r="E69" t="s">
        <v>51</v>
      </c>
      <c r="F69" t="s">
        <v>35</v>
      </c>
      <c r="G69" t="s">
        <v>36</v>
      </c>
      <c r="H69" t="s">
        <v>41</v>
      </c>
      <c r="I69" t="s">
        <v>42</v>
      </c>
      <c r="J69" t="s">
        <v>32</v>
      </c>
      <c r="K69">
        <v>8</v>
      </c>
      <c r="L69">
        <v>3000</v>
      </c>
      <c r="M69">
        <v>10</v>
      </c>
      <c r="N69">
        <v>21600</v>
      </c>
      <c r="O69">
        <v>3240</v>
      </c>
    </row>
    <row r="70" spans="1:15" x14ac:dyDescent="0.3">
      <c r="A70">
        <v>69</v>
      </c>
      <c r="B70" s="1" t="s">
        <v>116</v>
      </c>
      <c r="C70" s="1">
        <f t="shared" si="2"/>
        <v>45548</v>
      </c>
      <c r="D70">
        <v>2024</v>
      </c>
      <c r="E70" t="s">
        <v>53</v>
      </c>
      <c r="F70" t="s">
        <v>16</v>
      </c>
      <c r="G70" t="s">
        <v>17</v>
      </c>
      <c r="H70" t="s">
        <v>46</v>
      </c>
      <c r="I70" t="s">
        <v>42</v>
      </c>
      <c r="J70" t="s">
        <v>38</v>
      </c>
      <c r="K70">
        <v>9</v>
      </c>
      <c r="L70">
        <v>8000</v>
      </c>
      <c r="M70">
        <v>11</v>
      </c>
      <c r="N70">
        <v>64080</v>
      </c>
      <c r="O70">
        <v>9612</v>
      </c>
    </row>
    <row r="71" spans="1:15" x14ac:dyDescent="0.3">
      <c r="A71">
        <v>70</v>
      </c>
      <c r="B71" s="1" t="s">
        <v>117</v>
      </c>
      <c r="C71" s="1">
        <f t="shared" si="2"/>
        <v>45579</v>
      </c>
      <c r="D71">
        <v>2024</v>
      </c>
      <c r="E71" t="s">
        <v>55</v>
      </c>
      <c r="F71" t="s">
        <v>23</v>
      </c>
      <c r="G71" t="s">
        <v>24</v>
      </c>
      <c r="H71" t="s">
        <v>49</v>
      </c>
      <c r="I71" t="s">
        <v>42</v>
      </c>
      <c r="J71" t="s">
        <v>43</v>
      </c>
      <c r="K71">
        <v>10</v>
      </c>
      <c r="L71">
        <v>25000</v>
      </c>
      <c r="M71">
        <v>12</v>
      </c>
      <c r="N71">
        <v>220000</v>
      </c>
      <c r="O71">
        <v>33000</v>
      </c>
    </row>
    <row r="72" spans="1:15" x14ac:dyDescent="0.3">
      <c r="A72">
        <v>71</v>
      </c>
      <c r="B72" s="1" t="s">
        <v>118</v>
      </c>
      <c r="C72" s="1">
        <f t="shared" si="2"/>
        <v>45611</v>
      </c>
      <c r="D72">
        <v>2024</v>
      </c>
      <c r="E72" t="s">
        <v>57</v>
      </c>
      <c r="F72" t="s">
        <v>29</v>
      </c>
      <c r="G72" t="s">
        <v>30</v>
      </c>
      <c r="H72" t="s">
        <v>18</v>
      </c>
      <c r="I72" t="s">
        <v>19</v>
      </c>
      <c r="J72" t="s">
        <v>20</v>
      </c>
      <c r="K72">
        <v>1</v>
      </c>
      <c r="L72">
        <v>50000</v>
      </c>
      <c r="M72">
        <v>13</v>
      </c>
      <c r="N72">
        <v>43500</v>
      </c>
      <c r="O72">
        <v>6525</v>
      </c>
    </row>
    <row r="73" spans="1:15" x14ac:dyDescent="0.3">
      <c r="A73">
        <v>72</v>
      </c>
      <c r="B73" s="1" t="s">
        <v>119</v>
      </c>
      <c r="C73" s="1">
        <f t="shared" si="2"/>
        <v>45642</v>
      </c>
      <c r="D73">
        <v>2024</v>
      </c>
      <c r="E73" t="s">
        <v>59</v>
      </c>
      <c r="F73" t="s">
        <v>35</v>
      </c>
      <c r="G73" t="s">
        <v>36</v>
      </c>
      <c r="H73" t="s">
        <v>25</v>
      </c>
      <c r="I73" t="s">
        <v>19</v>
      </c>
      <c r="J73" t="s">
        <v>26</v>
      </c>
      <c r="K73">
        <v>2</v>
      </c>
      <c r="L73">
        <v>20000</v>
      </c>
      <c r="M73">
        <v>14</v>
      </c>
      <c r="N73">
        <v>34400</v>
      </c>
      <c r="O73">
        <v>5160</v>
      </c>
    </row>
    <row r="74" spans="1:15" x14ac:dyDescent="0.3">
      <c r="A74">
        <v>73</v>
      </c>
      <c r="B74" s="1" t="s">
        <v>120</v>
      </c>
      <c r="C74" s="1">
        <f t="shared" si="2"/>
        <v>45308</v>
      </c>
      <c r="D74">
        <v>2024</v>
      </c>
      <c r="E74" t="s">
        <v>15</v>
      </c>
      <c r="F74" t="s">
        <v>16</v>
      </c>
      <c r="G74" t="s">
        <v>17</v>
      </c>
      <c r="H74" t="s">
        <v>31</v>
      </c>
      <c r="I74" t="s">
        <v>19</v>
      </c>
      <c r="J74" t="s">
        <v>32</v>
      </c>
      <c r="K74">
        <v>3</v>
      </c>
      <c r="L74">
        <v>30000</v>
      </c>
      <c r="M74">
        <v>3</v>
      </c>
      <c r="N74">
        <v>87300</v>
      </c>
      <c r="O74">
        <v>13095</v>
      </c>
    </row>
    <row r="75" spans="1:15" x14ac:dyDescent="0.3">
      <c r="A75">
        <v>74</v>
      </c>
      <c r="B75" s="1" t="s">
        <v>121</v>
      </c>
      <c r="C75" s="1">
        <f t="shared" si="2"/>
        <v>45340</v>
      </c>
      <c r="D75">
        <v>2024</v>
      </c>
      <c r="E75" t="s">
        <v>22</v>
      </c>
      <c r="F75" t="s">
        <v>23</v>
      </c>
      <c r="G75" t="s">
        <v>24</v>
      </c>
      <c r="H75" t="s">
        <v>37</v>
      </c>
      <c r="I75" t="s">
        <v>19</v>
      </c>
      <c r="J75" t="s">
        <v>38</v>
      </c>
      <c r="K75">
        <v>4</v>
      </c>
      <c r="L75">
        <v>15000</v>
      </c>
      <c r="M75">
        <v>4</v>
      </c>
      <c r="N75">
        <v>57600</v>
      </c>
      <c r="O75">
        <v>8640</v>
      </c>
    </row>
    <row r="76" spans="1:15" x14ac:dyDescent="0.3">
      <c r="A76">
        <v>75</v>
      </c>
      <c r="B76" s="1" t="s">
        <v>122</v>
      </c>
      <c r="C76" s="1">
        <f t="shared" si="2"/>
        <v>45370</v>
      </c>
      <c r="D76">
        <v>2024</v>
      </c>
      <c r="E76" t="s">
        <v>28</v>
      </c>
      <c r="F76" t="s">
        <v>29</v>
      </c>
      <c r="G76" t="s">
        <v>30</v>
      </c>
      <c r="H76" t="s">
        <v>41</v>
      </c>
      <c r="I76" t="s">
        <v>42</v>
      </c>
      <c r="J76" t="s">
        <v>43</v>
      </c>
      <c r="K76">
        <v>5</v>
      </c>
      <c r="L76">
        <v>3000</v>
      </c>
      <c r="M76">
        <v>5</v>
      </c>
      <c r="N76">
        <v>14250</v>
      </c>
      <c r="O76">
        <v>2137.5</v>
      </c>
    </row>
    <row r="77" spans="1:15" x14ac:dyDescent="0.3">
      <c r="A77">
        <v>76</v>
      </c>
      <c r="B77" s="1" t="s">
        <v>123</v>
      </c>
      <c r="C77" s="1">
        <f t="shared" si="2"/>
        <v>45402</v>
      </c>
      <c r="D77">
        <v>2024</v>
      </c>
      <c r="E77" t="s">
        <v>34</v>
      </c>
      <c r="F77" t="s">
        <v>35</v>
      </c>
      <c r="G77" t="s">
        <v>36</v>
      </c>
      <c r="H77" t="s">
        <v>46</v>
      </c>
      <c r="I77" t="s">
        <v>42</v>
      </c>
      <c r="J77" t="s">
        <v>20</v>
      </c>
      <c r="K77">
        <v>6</v>
      </c>
      <c r="L77">
        <v>8000</v>
      </c>
      <c r="M77">
        <v>6</v>
      </c>
      <c r="N77">
        <v>45120</v>
      </c>
      <c r="O77">
        <v>6768</v>
      </c>
    </row>
    <row r="78" spans="1:15" x14ac:dyDescent="0.3">
      <c r="A78">
        <v>77</v>
      </c>
      <c r="B78" s="1" t="s">
        <v>124</v>
      </c>
      <c r="C78" s="1">
        <f t="shared" si="2"/>
        <v>45433</v>
      </c>
      <c r="D78">
        <v>2024</v>
      </c>
      <c r="E78" t="s">
        <v>40</v>
      </c>
      <c r="F78" t="s">
        <v>16</v>
      </c>
      <c r="G78" t="s">
        <v>17</v>
      </c>
      <c r="H78" t="s">
        <v>49</v>
      </c>
      <c r="I78" t="s">
        <v>42</v>
      </c>
      <c r="J78" t="s">
        <v>26</v>
      </c>
      <c r="K78">
        <v>7</v>
      </c>
      <c r="L78">
        <v>25000</v>
      </c>
      <c r="M78">
        <v>7</v>
      </c>
      <c r="N78">
        <v>162750</v>
      </c>
      <c r="O78">
        <v>24412.5</v>
      </c>
    </row>
    <row r="79" spans="1:15" x14ac:dyDescent="0.3">
      <c r="A79">
        <v>78</v>
      </c>
      <c r="B79" s="1" t="s">
        <v>125</v>
      </c>
      <c r="C79" s="1">
        <f t="shared" si="2"/>
        <v>45465</v>
      </c>
      <c r="D79">
        <v>2024</v>
      </c>
      <c r="E79" t="s">
        <v>45</v>
      </c>
      <c r="F79" t="s">
        <v>23</v>
      </c>
      <c r="G79" t="s">
        <v>24</v>
      </c>
      <c r="H79" t="s">
        <v>18</v>
      </c>
      <c r="I79" t="s">
        <v>19</v>
      </c>
      <c r="J79" t="s">
        <v>32</v>
      </c>
      <c r="K79">
        <v>8</v>
      </c>
      <c r="L79">
        <v>50000</v>
      </c>
      <c r="M79">
        <v>8</v>
      </c>
      <c r="N79">
        <v>368000</v>
      </c>
      <c r="O79">
        <v>55200</v>
      </c>
    </row>
    <row r="80" spans="1:15" x14ac:dyDescent="0.3">
      <c r="A80">
        <v>79</v>
      </c>
      <c r="B80" s="1" t="s">
        <v>126</v>
      </c>
      <c r="C80" s="1">
        <f t="shared" si="2"/>
        <v>45496</v>
      </c>
      <c r="D80">
        <v>2024</v>
      </c>
      <c r="E80" t="s">
        <v>48</v>
      </c>
      <c r="F80" t="s">
        <v>29</v>
      </c>
      <c r="G80" t="s">
        <v>30</v>
      </c>
      <c r="H80" t="s">
        <v>25</v>
      </c>
      <c r="I80" t="s">
        <v>19</v>
      </c>
      <c r="J80" t="s">
        <v>38</v>
      </c>
      <c r="K80">
        <v>9</v>
      </c>
      <c r="L80">
        <v>20000</v>
      </c>
      <c r="M80">
        <v>9</v>
      </c>
      <c r="N80">
        <v>163800</v>
      </c>
      <c r="O80">
        <v>24570</v>
      </c>
    </row>
    <row r="81" spans="1:15" x14ac:dyDescent="0.3">
      <c r="A81">
        <v>80</v>
      </c>
      <c r="B81" s="1" t="s">
        <v>127</v>
      </c>
      <c r="C81" s="1">
        <f t="shared" si="2"/>
        <v>45528</v>
      </c>
      <c r="D81">
        <v>2024</v>
      </c>
      <c r="E81" t="s">
        <v>51</v>
      </c>
      <c r="F81" t="s">
        <v>35</v>
      </c>
      <c r="G81" t="s">
        <v>36</v>
      </c>
      <c r="H81" t="s">
        <v>31</v>
      </c>
      <c r="I81" t="s">
        <v>19</v>
      </c>
      <c r="J81" t="s">
        <v>43</v>
      </c>
      <c r="K81">
        <v>10</v>
      </c>
      <c r="L81">
        <v>30000</v>
      </c>
      <c r="M81">
        <v>10</v>
      </c>
      <c r="N81">
        <v>270000</v>
      </c>
      <c r="O81">
        <v>40500</v>
      </c>
    </row>
    <row r="82" spans="1:15" x14ac:dyDescent="0.3">
      <c r="A82">
        <v>81</v>
      </c>
      <c r="B82" s="1" t="s">
        <v>128</v>
      </c>
      <c r="C82" s="1">
        <f t="shared" si="2"/>
        <v>45560</v>
      </c>
      <c r="D82">
        <v>2024</v>
      </c>
      <c r="E82" t="s">
        <v>53</v>
      </c>
      <c r="F82" t="s">
        <v>16</v>
      </c>
      <c r="G82" t="s">
        <v>17</v>
      </c>
      <c r="H82" t="s">
        <v>37</v>
      </c>
      <c r="I82" t="s">
        <v>19</v>
      </c>
      <c r="J82" t="s">
        <v>20</v>
      </c>
      <c r="K82">
        <v>1</v>
      </c>
      <c r="L82">
        <v>15000</v>
      </c>
      <c r="M82">
        <v>11</v>
      </c>
      <c r="N82">
        <v>13350</v>
      </c>
      <c r="O82">
        <v>2002.5</v>
      </c>
    </row>
    <row r="83" spans="1:15" x14ac:dyDescent="0.3">
      <c r="A83">
        <v>82</v>
      </c>
      <c r="B83" s="1" t="s">
        <v>129</v>
      </c>
      <c r="C83" s="1">
        <f t="shared" si="2"/>
        <v>45591</v>
      </c>
      <c r="D83">
        <v>2024</v>
      </c>
      <c r="E83" t="s">
        <v>55</v>
      </c>
      <c r="F83" t="s">
        <v>23</v>
      </c>
      <c r="G83" t="s">
        <v>24</v>
      </c>
      <c r="H83" t="s">
        <v>41</v>
      </c>
      <c r="I83" t="s">
        <v>42</v>
      </c>
      <c r="J83" t="s">
        <v>26</v>
      </c>
      <c r="K83">
        <v>2</v>
      </c>
      <c r="L83">
        <v>3000</v>
      </c>
      <c r="M83">
        <v>12</v>
      </c>
      <c r="N83">
        <v>5280</v>
      </c>
      <c r="O83">
        <v>792</v>
      </c>
    </row>
    <row r="84" spans="1:15" x14ac:dyDescent="0.3">
      <c r="A84">
        <v>83</v>
      </c>
      <c r="B84" s="1" t="s">
        <v>130</v>
      </c>
      <c r="C84" s="1">
        <f t="shared" si="2"/>
        <v>45623</v>
      </c>
      <c r="D84">
        <v>2024</v>
      </c>
      <c r="E84" t="s">
        <v>57</v>
      </c>
      <c r="F84" t="s">
        <v>29</v>
      </c>
      <c r="G84" t="s">
        <v>30</v>
      </c>
      <c r="H84" t="s">
        <v>46</v>
      </c>
      <c r="I84" t="s">
        <v>42</v>
      </c>
      <c r="J84" t="s">
        <v>32</v>
      </c>
      <c r="K84">
        <v>3</v>
      </c>
      <c r="L84">
        <v>8000</v>
      </c>
      <c r="M84">
        <v>13</v>
      </c>
      <c r="N84">
        <v>20880</v>
      </c>
      <c r="O84">
        <v>3132</v>
      </c>
    </row>
    <row r="85" spans="1:15" x14ac:dyDescent="0.3">
      <c r="A85">
        <v>84</v>
      </c>
      <c r="B85" s="1" t="s">
        <v>131</v>
      </c>
      <c r="C85" s="1">
        <f t="shared" si="2"/>
        <v>45654</v>
      </c>
      <c r="D85">
        <v>2024</v>
      </c>
      <c r="E85" t="s">
        <v>59</v>
      </c>
      <c r="F85" t="s">
        <v>35</v>
      </c>
      <c r="G85" t="s">
        <v>36</v>
      </c>
      <c r="H85" t="s">
        <v>49</v>
      </c>
      <c r="I85" t="s">
        <v>42</v>
      </c>
      <c r="J85" t="s">
        <v>38</v>
      </c>
      <c r="K85">
        <v>4</v>
      </c>
      <c r="L85">
        <v>25000</v>
      </c>
      <c r="M85">
        <v>14</v>
      </c>
      <c r="N85">
        <v>86000</v>
      </c>
      <c r="O85">
        <v>12900</v>
      </c>
    </row>
    <row r="86" spans="1:15" x14ac:dyDescent="0.3">
      <c r="A86">
        <v>85</v>
      </c>
      <c r="B86" s="1" t="s">
        <v>14</v>
      </c>
      <c r="C86" s="1">
        <f t="shared" si="2"/>
        <v>45292</v>
      </c>
      <c r="D86">
        <v>2024</v>
      </c>
      <c r="E86" t="s">
        <v>15</v>
      </c>
      <c r="F86" t="s">
        <v>16</v>
      </c>
      <c r="G86" t="s">
        <v>17</v>
      </c>
      <c r="H86" t="s">
        <v>18</v>
      </c>
      <c r="I86" t="s">
        <v>19</v>
      </c>
      <c r="J86" t="s">
        <v>43</v>
      </c>
      <c r="K86">
        <v>5</v>
      </c>
      <c r="L86">
        <v>50000</v>
      </c>
      <c r="M86">
        <v>3</v>
      </c>
      <c r="N86">
        <v>242500</v>
      </c>
      <c r="O86">
        <v>36375</v>
      </c>
    </row>
    <row r="87" spans="1:15" x14ac:dyDescent="0.3">
      <c r="A87">
        <v>86</v>
      </c>
      <c r="B87" s="1" t="s">
        <v>21</v>
      </c>
      <c r="C87" s="1">
        <f t="shared" si="2"/>
        <v>45324</v>
      </c>
      <c r="D87">
        <v>2024</v>
      </c>
      <c r="E87" t="s">
        <v>22</v>
      </c>
      <c r="F87" t="s">
        <v>23</v>
      </c>
      <c r="G87" t="s">
        <v>24</v>
      </c>
      <c r="H87" t="s">
        <v>25</v>
      </c>
      <c r="I87" t="s">
        <v>19</v>
      </c>
      <c r="J87" t="s">
        <v>20</v>
      </c>
      <c r="K87">
        <v>6</v>
      </c>
      <c r="L87">
        <v>20000</v>
      </c>
      <c r="M87">
        <v>4</v>
      </c>
      <c r="N87">
        <v>115200</v>
      </c>
      <c r="O87">
        <v>17280</v>
      </c>
    </row>
    <row r="88" spans="1:15" x14ac:dyDescent="0.3">
      <c r="A88">
        <v>87</v>
      </c>
      <c r="B88" s="1" t="s">
        <v>27</v>
      </c>
      <c r="C88" s="1">
        <f t="shared" si="2"/>
        <v>45354</v>
      </c>
      <c r="D88">
        <v>2024</v>
      </c>
      <c r="E88" t="s">
        <v>28</v>
      </c>
      <c r="F88" t="s">
        <v>29</v>
      </c>
      <c r="G88" t="s">
        <v>30</v>
      </c>
      <c r="H88" t="s">
        <v>31</v>
      </c>
      <c r="I88" t="s">
        <v>19</v>
      </c>
      <c r="J88" t="s">
        <v>26</v>
      </c>
      <c r="K88">
        <v>7</v>
      </c>
      <c r="L88">
        <v>30000</v>
      </c>
      <c r="M88">
        <v>5</v>
      </c>
      <c r="N88">
        <v>199500</v>
      </c>
      <c r="O88">
        <v>29925</v>
      </c>
    </row>
    <row r="89" spans="1:15" x14ac:dyDescent="0.3">
      <c r="A89">
        <v>88</v>
      </c>
      <c r="B89" s="1" t="s">
        <v>33</v>
      </c>
      <c r="C89" s="1">
        <f t="shared" si="2"/>
        <v>45386</v>
      </c>
      <c r="D89">
        <v>2024</v>
      </c>
      <c r="E89" t="s">
        <v>34</v>
      </c>
      <c r="F89" t="s">
        <v>35</v>
      </c>
      <c r="G89" t="s">
        <v>36</v>
      </c>
      <c r="H89" t="s">
        <v>37</v>
      </c>
      <c r="I89" t="s">
        <v>19</v>
      </c>
      <c r="J89" t="s">
        <v>32</v>
      </c>
      <c r="K89">
        <v>8</v>
      </c>
      <c r="L89">
        <v>15000</v>
      </c>
      <c r="M89">
        <v>6</v>
      </c>
      <c r="N89">
        <v>112800</v>
      </c>
      <c r="O89">
        <v>16920</v>
      </c>
    </row>
    <row r="90" spans="1:15" x14ac:dyDescent="0.3">
      <c r="A90">
        <v>89</v>
      </c>
      <c r="B90" s="1" t="s">
        <v>39</v>
      </c>
      <c r="C90" s="1">
        <f t="shared" si="2"/>
        <v>45417</v>
      </c>
      <c r="D90">
        <v>2024</v>
      </c>
      <c r="E90" t="s">
        <v>40</v>
      </c>
      <c r="F90" t="s">
        <v>16</v>
      </c>
      <c r="G90" t="s">
        <v>17</v>
      </c>
      <c r="H90" t="s">
        <v>41</v>
      </c>
      <c r="I90" t="s">
        <v>42</v>
      </c>
      <c r="J90" t="s">
        <v>38</v>
      </c>
      <c r="K90">
        <v>9</v>
      </c>
      <c r="L90">
        <v>3000</v>
      </c>
      <c r="M90">
        <v>7</v>
      </c>
      <c r="N90">
        <v>25110</v>
      </c>
      <c r="O90">
        <v>3766.5</v>
      </c>
    </row>
    <row r="91" spans="1:15" x14ac:dyDescent="0.3">
      <c r="A91">
        <v>90</v>
      </c>
      <c r="B91" s="1" t="s">
        <v>44</v>
      </c>
      <c r="C91" s="1">
        <f t="shared" si="2"/>
        <v>45449</v>
      </c>
      <c r="D91">
        <v>2024</v>
      </c>
      <c r="E91" t="s">
        <v>45</v>
      </c>
      <c r="F91" t="s">
        <v>23</v>
      </c>
      <c r="G91" t="s">
        <v>24</v>
      </c>
      <c r="H91" t="s">
        <v>46</v>
      </c>
      <c r="I91" t="s">
        <v>42</v>
      </c>
      <c r="J91" t="s">
        <v>43</v>
      </c>
      <c r="K91">
        <v>10</v>
      </c>
      <c r="L91">
        <v>8000</v>
      </c>
      <c r="M91">
        <v>8</v>
      </c>
      <c r="N91">
        <v>73600</v>
      </c>
      <c r="O91">
        <v>11040</v>
      </c>
    </row>
    <row r="92" spans="1:15" x14ac:dyDescent="0.3">
      <c r="A92">
        <v>91</v>
      </c>
      <c r="B92" s="1" t="s">
        <v>47</v>
      </c>
      <c r="C92" s="1">
        <f t="shared" si="2"/>
        <v>45480</v>
      </c>
      <c r="D92">
        <v>2024</v>
      </c>
      <c r="E92" t="s">
        <v>48</v>
      </c>
      <c r="F92" t="s">
        <v>29</v>
      </c>
      <c r="G92" t="s">
        <v>30</v>
      </c>
      <c r="H92" t="s">
        <v>49</v>
      </c>
      <c r="I92" t="s">
        <v>42</v>
      </c>
      <c r="J92" t="s">
        <v>20</v>
      </c>
      <c r="K92">
        <v>1</v>
      </c>
      <c r="L92">
        <v>25000</v>
      </c>
      <c r="M92">
        <v>9</v>
      </c>
      <c r="N92">
        <v>22750</v>
      </c>
      <c r="O92">
        <v>3412.5</v>
      </c>
    </row>
    <row r="93" spans="1:15" x14ac:dyDescent="0.3">
      <c r="A93">
        <v>92</v>
      </c>
      <c r="B93" s="1" t="s">
        <v>50</v>
      </c>
      <c r="C93" s="1">
        <f t="shared" si="2"/>
        <v>45512</v>
      </c>
      <c r="D93">
        <v>2024</v>
      </c>
      <c r="E93" t="s">
        <v>51</v>
      </c>
      <c r="F93" t="s">
        <v>35</v>
      </c>
      <c r="G93" t="s">
        <v>36</v>
      </c>
      <c r="H93" t="s">
        <v>18</v>
      </c>
      <c r="I93" t="s">
        <v>19</v>
      </c>
      <c r="J93" t="s">
        <v>26</v>
      </c>
      <c r="K93">
        <v>2</v>
      </c>
      <c r="L93">
        <v>50000</v>
      </c>
      <c r="M93">
        <v>10</v>
      </c>
      <c r="N93">
        <v>90000</v>
      </c>
      <c r="O93">
        <v>13500</v>
      </c>
    </row>
    <row r="94" spans="1:15" x14ac:dyDescent="0.3">
      <c r="A94">
        <v>93</v>
      </c>
      <c r="B94" s="1" t="s">
        <v>52</v>
      </c>
      <c r="C94" s="1">
        <f t="shared" si="2"/>
        <v>45544</v>
      </c>
      <c r="D94">
        <v>2024</v>
      </c>
      <c r="E94" t="s">
        <v>53</v>
      </c>
      <c r="F94" t="s">
        <v>16</v>
      </c>
      <c r="G94" t="s">
        <v>17</v>
      </c>
      <c r="H94" t="s">
        <v>25</v>
      </c>
      <c r="I94" t="s">
        <v>19</v>
      </c>
      <c r="J94" t="s">
        <v>32</v>
      </c>
      <c r="K94">
        <v>3</v>
      </c>
      <c r="L94">
        <v>20000</v>
      </c>
      <c r="M94">
        <v>11</v>
      </c>
      <c r="N94">
        <v>53400</v>
      </c>
      <c r="O94">
        <v>8010</v>
      </c>
    </row>
    <row r="95" spans="1:15" x14ac:dyDescent="0.3">
      <c r="A95">
        <v>94</v>
      </c>
      <c r="B95" s="1" t="s">
        <v>54</v>
      </c>
      <c r="C95" s="1">
        <f t="shared" si="2"/>
        <v>45575</v>
      </c>
      <c r="D95">
        <v>2024</v>
      </c>
      <c r="E95" t="s">
        <v>55</v>
      </c>
      <c r="F95" t="s">
        <v>23</v>
      </c>
      <c r="G95" t="s">
        <v>24</v>
      </c>
      <c r="H95" t="s">
        <v>31</v>
      </c>
      <c r="I95" t="s">
        <v>19</v>
      </c>
      <c r="J95" t="s">
        <v>38</v>
      </c>
      <c r="K95">
        <v>4</v>
      </c>
      <c r="L95">
        <v>30000</v>
      </c>
      <c r="M95">
        <v>12</v>
      </c>
      <c r="N95">
        <v>105600</v>
      </c>
      <c r="O95">
        <v>15840</v>
      </c>
    </row>
    <row r="96" spans="1:15" x14ac:dyDescent="0.3">
      <c r="A96">
        <v>95</v>
      </c>
      <c r="B96" s="1" t="s">
        <v>56</v>
      </c>
      <c r="C96" s="1">
        <f t="shared" si="2"/>
        <v>45607</v>
      </c>
      <c r="D96">
        <v>2024</v>
      </c>
      <c r="E96" t="s">
        <v>57</v>
      </c>
      <c r="F96" t="s">
        <v>29</v>
      </c>
      <c r="G96" t="s">
        <v>30</v>
      </c>
      <c r="H96" t="s">
        <v>37</v>
      </c>
      <c r="I96" t="s">
        <v>19</v>
      </c>
      <c r="J96" t="s">
        <v>43</v>
      </c>
      <c r="K96">
        <v>5</v>
      </c>
      <c r="L96">
        <v>15000</v>
      </c>
      <c r="M96">
        <v>13</v>
      </c>
      <c r="N96">
        <v>65250</v>
      </c>
      <c r="O96">
        <v>9787.5</v>
      </c>
    </row>
    <row r="97" spans="1:15" x14ac:dyDescent="0.3">
      <c r="A97">
        <v>96</v>
      </c>
      <c r="B97" s="1" t="s">
        <v>58</v>
      </c>
      <c r="C97" s="1">
        <f t="shared" si="2"/>
        <v>45638</v>
      </c>
      <c r="D97">
        <v>2024</v>
      </c>
      <c r="E97" t="s">
        <v>59</v>
      </c>
      <c r="F97" t="s">
        <v>35</v>
      </c>
      <c r="G97" t="s">
        <v>36</v>
      </c>
      <c r="H97" t="s">
        <v>41</v>
      </c>
      <c r="I97" t="s">
        <v>42</v>
      </c>
      <c r="J97" t="s">
        <v>20</v>
      </c>
      <c r="K97">
        <v>6</v>
      </c>
      <c r="L97">
        <v>3000</v>
      </c>
      <c r="M97">
        <v>14</v>
      </c>
      <c r="N97">
        <v>15480</v>
      </c>
      <c r="O97">
        <v>2322</v>
      </c>
    </row>
    <row r="98" spans="1:15" x14ac:dyDescent="0.3">
      <c r="A98">
        <v>97</v>
      </c>
      <c r="B98" s="1" t="s">
        <v>60</v>
      </c>
      <c r="C98" s="1">
        <f t="shared" ref="C98:C101" si="3">DATEVALUE(B98)</f>
        <v>45304</v>
      </c>
      <c r="D98">
        <v>2024</v>
      </c>
      <c r="E98" t="s">
        <v>15</v>
      </c>
      <c r="F98" t="s">
        <v>16</v>
      </c>
      <c r="G98" t="s">
        <v>17</v>
      </c>
      <c r="H98" t="s">
        <v>46</v>
      </c>
      <c r="I98" t="s">
        <v>42</v>
      </c>
      <c r="J98" t="s">
        <v>26</v>
      </c>
      <c r="K98">
        <v>7</v>
      </c>
      <c r="L98">
        <v>8000</v>
      </c>
      <c r="M98">
        <v>3</v>
      </c>
      <c r="N98">
        <v>54320</v>
      </c>
      <c r="O98">
        <v>8148</v>
      </c>
    </row>
    <row r="99" spans="1:15" x14ac:dyDescent="0.3">
      <c r="A99">
        <v>98</v>
      </c>
      <c r="B99" s="1" t="s">
        <v>61</v>
      </c>
      <c r="C99" s="1">
        <f t="shared" si="3"/>
        <v>45336</v>
      </c>
      <c r="D99">
        <v>2024</v>
      </c>
      <c r="E99" t="s">
        <v>22</v>
      </c>
      <c r="F99" t="s">
        <v>23</v>
      </c>
      <c r="G99" t="s">
        <v>24</v>
      </c>
      <c r="H99" t="s">
        <v>49</v>
      </c>
      <c r="I99" t="s">
        <v>42</v>
      </c>
      <c r="J99" t="s">
        <v>32</v>
      </c>
      <c r="K99">
        <v>8</v>
      </c>
      <c r="L99">
        <v>25000</v>
      </c>
      <c r="M99">
        <v>4</v>
      </c>
      <c r="N99">
        <v>192000</v>
      </c>
      <c r="O99">
        <v>28800</v>
      </c>
    </row>
    <row r="100" spans="1:15" x14ac:dyDescent="0.3">
      <c r="A100">
        <v>99</v>
      </c>
      <c r="B100" s="1" t="s">
        <v>62</v>
      </c>
      <c r="C100" s="1">
        <f t="shared" si="3"/>
        <v>45366</v>
      </c>
      <c r="D100">
        <v>2024</v>
      </c>
      <c r="E100" t="s">
        <v>28</v>
      </c>
      <c r="F100" t="s">
        <v>29</v>
      </c>
      <c r="G100" t="s">
        <v>30</v>
      </c>
      <c r="H100" t="s">
        <v>18</v>
      </c>
      <c r="I100" t="s">
        <v>19</v>
      </c>
      <c r="J100" t="s">
        <v>38</v>
      </c>
      <c r="K100">
        <v>9</v>
      </c>
      <c r="L100">
        <v>50000</v>
      </c>
      <c r="M100">
        <v>5</v>
      </c>
      <c r="N100">
        <v>427500</v>
      </c>
      <c r="O100">
        <v>64125</v>
      </c>
    </row>
    <row r="101" spans="1:15" x14ac:dyDescent="0.3">
      <c r="A101">
        <v>100</v>
      </c>
      <c r="B101" s="1" t="s">
        <v>63</v>
      </c>
      <c r="C101" s="1">
        <f t="shared" si="3"/>
        <v>45398</v>
      </c>
      <c r="D101">
        <v>2024</v>
      </c>
      <c r="E101" t="s">
        <v>34</v>
      </c>
      <c r="F101" t="s">
        <v>35</v>
      </c>
      <c r="G101" t="s">
        <v>36</v>
      </c>
      <c r="H101" t="s">
        <v>25</v>
      </c>
      <c r="I101" t="s">
        <v>19</v>
      </c>
      <c r="J101" t="s">
        <v>43</v>
      </c>
      <c r="K101">
        <v>10</v>
      </c>
      <c r="L101">
        <v>20000</v>
      </c>
      <c r="M101">
        <v>6</v>
      </c>
      <c r="N101">
        <v>188000</v>
      </c>
      <c r="O101">
        <v>28200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F2C2-FFE2-4DDD-BEC5-1C2AC60C4E65}">
  <dimension ref="A3:D14"/>
  <sheetViews>
    <sheetView workbookViewId="0">
      <selection activeCell="A2" sqref="A2"/>
    </sheetView>
  </sheetViews>
  <sheetFormatPr defaultRowHeight="14.4" x14ac:dyDescent="0.3"/>
  <cols>
    <col min="1" max="1" width="19.77734375" bestFit="1" customWidth="1"/>
    <col min="2" max="2" width="15.5546875" bestFit="1" customWidth="1"/>
    <col min="3" max="3" width="8.6640625" bestFit="1" customWidth="1"/>
    <col min="4" max="4" width="10.77734375" bestFit="1" customWidth="1"/>
  </cols>
  <sheetData>
    <row r="3" spans="1:4" x14ac:dyDescent="0.3">
      <c r="A3" s="11" t="s">
        <v>134</v>
      </c>
      <c r="B3" t="s">
        <v>133</v>
      </c>
    </row>
    <row r="4" spans="1:4" x14ac:dyDescent="0.3">
      <c r="A4" s="12" t="s">
        <v>20</v>
      </c>
      <c r="B4" s="15">
        <v>273480</v>
      </c>
    </row>
    <row r="5" spans="1:4" x14ac:dyDescent="0.3">
      <c r="A5" s="12" t="s">
        <v>43</v>
      </c>
      <c r="B5" s="15">
        <v>129000</v>
      </c>
    </row>
    <row r="6" spans="1:4" x14ac:dyDescent="0.3">
      <c r="A6" s="12" t="s">
        <v>38</v>
      </c>
      <c r="B6" s="15">
        <v>189200</v>
      </c>
    </row>
    <row r="7" spans="1:4" x14ac:dyDescent="0.3">
      <c r="A7" s="12" t="s">
        <v>32</v>
      </c>
      <c r="B7" s="15">
        <v>55040</v>
      </c>
    </row>
    <row r="8" spans="1:4" x14ac:dyDescent="0.3">
      <c r="A8" s="12" t="s">
        <v>26</v>
      </c>
      <c r="B8" s="15">
        <v>39560</v>
      </c>
    </row>
    <row r="9" spans="1:4" x14ac:dyDescent="0.3">
      <c r="A9" s="12" t="s">
        <v>135</v>
      </c>
      <c r="B9" s="15">
        <v>686280</v>
      </c>
    </row>
    <row r="11" spans="1:4" x14ac:dyDescent="0.3">
      <c r="A11" s="11" t="s">
        <v>133</v>
      </c>
      <c r="B11" s="11" t="s">
        <v>136</v>
      </c>
    </row>
    <row r="12" spans="1:4" x14ac:dyDescent="0.3">
      <c r="A12" s="11" t="s">
        <v>134</v>
      </c>
      <c r="B12" t="s">
        <v>19</v>
      </c>
      <c r="C12" t="s">
        <v>42</v>
      </c>
      <c r="D12" t="s">
        <v>135</v>
      </c>
    </row>
    <row r="13" spans="1:4" x14ac:dyDescent="0.3">
      <c r="A13" s="12" t="s">
        <v>35</v>
      </c>
      <c r="B13" s="15">
        <v>524600</v>
      </c>
      <c r="C13" s="15">
        <v>161680</v>
      </c>
      <c r="D13" s="15">
        <v>686280</v>
      </c>
    </row>
    <row r="14" spans="1:4" x14ac:dyDescent="0.3">
      <c r="A14" s="12" t="s">
        <v>135</v>
      </c>
      <c r="B14" s="15">
        <v>524600</v>
      </c>
      <c r="C14" s="15">
        <v>161680</v>
      </c>
      <c r="D14" s="15">
        <v>686280</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065B-3654-417F-87D2-FF59D25B66AA}">
  <dimension ref="A1:AI46"/>
  <sheetViews>
    <sheetView tabSelected="1" topLeftCell="H5" workbookViewId="0">
      <selection activeCell="U19" sqref="U19"/>
    </sheetView>
  </sheetViews>
  <sheetFormatPr defaultRowHeight="14.4" x14ac:dyDescent="0.3"/>
  <sheetData>
    <row r="1" spans="1:35" x14ac:dyDescent="0.3">
      <c r="A1" s="13" t="s">
        <v>137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row>
    <row r="2" spans="1:35"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row>
    <row r="3" spans="1:35" x14ac:dyDescent="0.3">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row>
    <row r="29" spans="9:11" x14ac:dyDescent="0.3">
      <c r="I29" s="2"/>
      <c r="J29" s="3"/>
      <c r="K29" s="4"/>
    </row>
    <row r="30" spans="9:11" x14ac:dyDescent="0.3">
      <c r="I30" s="5"/>
      <c r="J30" s="6"/>
      <c r="K30" s="7"/>
    </row>
    <row r="31" spans="9:11" x14ac:dyDescent="0.3">
      <c r="I31" s="5"/>
      <c r="J31" s="6"/>
      <c r="K31" s="7"/>
    </row>
    <row r="32" spans="9:11" x14ac:dyDescent="0.3">
      <c r="I32" s="5"/>
      <c r="J32" s="6"/>
      <c r="K32" s="7"/>
    </row>
    <row r="33" spans="9:11" x14ac:dyDescent="0.3">
      <c r="I33" s="5"/>
      <c r="J33" s="6"/>
      <c r="K33" s="7"/>
    </row>
    <row r="34" spans="9:11" x14ac:dyDescent="0.3">
      <c r="I34" s="5"/>
      <c r="J34" s="6"/>
      <c r="K34" s="7"/>
    </row>
    <row r="35" spans="9:11" x14ac:dyDescent="0.3">
      <c r="I35" s="5"/>
      <c r="J35" s="6"/>
      <c r="K35" s="7"/>
    </row>
    <row r="36" spans="9:11" x14ac:dyDescent="0.3">
      <c r="I36" s="5"/>
      <c r="J36" s="6"/>
      <c r="K36" s="7"/>
    </row>
    <row r="37" spans="9:11" x14ac:dyDescent="0.3">
      <c r="I37" s="5"/>
      <c r="J37" s="6"/>
      <c r="K37" s="7"/>
    </row>
    <row r="38" spans="9:11" x14ac:dyDescent="0.3">
      <c r="I38" s="5"/>
      <c r="J38" s="6"/>
      <c r="K38" s="7"/>
    </row>
    <row r="39" spans="9:11" x14ac:dyDescent="0.3">
      <c r="I39" s="5"/>
      <c r="J39" s="6"/>
      <c r="K39" s="7"/>
    </row>
    <row r="40" spans="9:11" x14ac:dyDescent="0.3">
      <c r="I40" s="5"/>
      <c r="J40" s="6"/>
      <c r="K40" s="7"/>
    </row>
    <row r="41" spans="9:11" x14ac:dyDescent="0.3">
      <c r="I41" s="5"/>
      <c r="J41" s="6"/>
      <c r="K41" s="7"/>
    </row>
    <row r="42" spans="9:11" x14ac:dyDescent="0.3">
      <c r="I42" s="5"/>
      <c r="J42" s="6"/>
      <c r="K42" s="7"/>
    </row>
    <row r="43" spans="9:11" x14ac:dyDescent="0.3">
      <c r="I43" s="5"/>
      <c r="J43" s="6"/>
      <c r="K43" s="7"/>
    </row>
    <row r="44" spans="9:11" x14ac:dyDescent="0.3">
      <c r="I44" s="5"/>
      <c r="J44" s="6"/>
      <c r="K44" s="7"/>
    </row>
    <row r="45" spans="9:11" x14ac:dyDescent="0.3">
      <c r="I45" s="5"/>
      <c r="J45" s="6"/>
      <c r="K45" s="7"/>
    </row>
    <row r="46" spans="9:11" x14ac:dyDescent="0.3">
      <c r="I46" s="8"/>
      <c r="J46" s="9"/>
      <c r="K46" s="10"/>
    </row>
  </sheetData>
  <mergeCells count="1">
    <mergeCell ref="A1:AI3"/>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Harshal Bhatt</cp:lastModifiedBy>
  <dcterms:created xsi:type="dcterms:W3CDTF">2026-01-09T01:42:57Z</dcterms:created>
  <dcterms:modified xsi:type="dcterms:W3CDTF">2026-02-14T05:50:55Z</dcterms:modified>
</cp:coreProperties>
</file>